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rceLog" sheetId="1" state="visible" r:id="rId3"/>
    <sheet name="Summary" sheetId="2" state="visible" r:id="rId4"/>
    <sheet name="HowItWorks" sheetId="3" state="visible" r:id="rId5"/>
  </sheets>
  <definedNames>
    <definedName function="false" hidden="true" localSheetId="0" name="_xlnm._FilterDatabase" vbProcedure="false">SourceLog!$A$4:$L$52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<sst xmlns="http://schemas.openxmlformats.org/spreadsheetml/2006/main" count="459" uniqueCount="277">
  <si>
    <t xml:space="preserve">Capstone 12 - Source Log: EV chips (SiC/GaN) and India</t>
  </si>
  <si>
    <t xml:space="preserve">Legend: edit the yellow cells (Date accessed, Trust level, Used in report, Verification status). Open action (column J) fills in automatically. Add new sources on the next empty row; counts on the Summary sheet update by themselves.</t>
  </si>
  <si>
    <t xml:space="preserve">ID</t>
  </si>
  <si>
    <t xml:space="preserve">Source</t>
  </si>
  <si>
    <t xml:space="preserve">URL</t>
  </si>
  <si>
    <t xml:space="preserve">Source type</t>
  </si>
  <si>
    <t xml:space="preserve">Used for</t>
  </si>
  <si>
    <t xml:space="preserve">Date accessed</t>
  </si>
  <si>
    <t xml:space="preserve">Trust level</t>
  </si>
  <si>
    <t xml:space="preserve">Used in report</t>
  </si>
  <si>
    <t xml:space="preserve">Verification status</t>
  </si>
  <si>
    <t xml:space="preserve">Open action</t>
  </si>
  <si>
    <t xml:space="preserve">Re-check 24 Oct 2026</t>
  </si>
  <si>
    <t xml:space="preserve">Fix needed in report</t>
  </si>
  <si>
    <t xml:space="preserve">SiC vs Si-IGBT traction inverter paper</t>
  </si>
  <si>
    <t xml:space="preserve">https://ph01.tci-thaijo.org/index.php/TNIJournal/article/view/253949</t>
  </si>
  <si>
    <t xml:space="preserve">Research paper</t>
  </si>
  <si>
    <t xml:space="preserve">Loss and efficiency gain of SiC inverter</t>
  </si>
  <si>
    <t xml:space="preserve">High</t>
  </si>
  <si>
    <t xml:space="preserve">Yes</t>
  </si>
  <si>
    <t xml:space="preserve">Opened and confirmed</t>
  </si>
  <si>
    <t xml:space="preserve">SUPPORTED</t>
  </si>
  <si>
    <t xml:space="preserve">Say 'simulated' (PLECS simulation, not measured). Don't cite the stray 'over 20%' figure.</t>
  </si>
  <si>
    <t xml:space="preserve">TI: EV traction inverter components</t>
  </si>
  <si>
    <t xml:space="preserve">https://www.ti.com/document-viewer/lit/html/SSZTD11/GUID-A8D6BB1F-85F9-43C0-970D-A6B638DA5F7B</t>
  </si>
  <si>
    <t xml:space="preserve">Company</t>
  </si>
  <si>
    <t xml:space="preserve">Inverter parts; SiC FET adoption</t>
  </si>
  <si>
    <t xml:space="preserve">Medium (vendor)</t>
  </si>
  <si>
    <t xml:space="preserve">Phrase as 'key components' of the inverter.</t>
  </si>
  <si>
    <t xml:space="preserve">NXP BMx7318 fact sheet</t>
  </si>
  <si>
    <t xml:space="preserve">https://www.nxp.com/docs/en/fact-sheet/BMx7318FS.pdf</t>
  </si>
  <si>
    <t xml:space="preserve">BMS cell-monitor AFE</t>
  </si>
  <si>
    <t xml:space="preserve">Say 'up to ASIL C' (industrial parts are SIL2). No date on sheet (c) 2026.</t>
  </si>
  <si>
    <t xml:space="preserve">Analog Devices: EV batteries</t>
  </si>
  <si>
    <t xml:space="preserve">https://www.analog.com/en/signals/thought-leadership/the-amazing-technology-behind-ev-batteries.html</t>
  </si>
  <si>
    <t xml:space="preserve">SoC/SoH in BMS</t>
  </si>
  <si>
    <t xml:space="preserve">No date on page; c. 2022.</t>
  </si>
  <si>
    <t xml:space="preserve">GaN 6.6 kW on-board charger (PMC)</t>
  </si>
  <si>
    <t xml:space="preserve">https://pmc.ncbi.nlm.nih.gov/articles/PMC11679712/</t>
  </si>
  <si>
    <t xml:space="preserve">GaN on-board charger structure</t>
  </si>
  <si>
    <t xml:space="preserve">Excerpt read - open and confirm</t>
  </si>
  <si>
    <t xml:space="preserve">UNREACHABLE (CAPTCHA)</t>
  </si>
  <si>
    <t xml:space="preserve">Open manually. Title says 6.6 kW, 450 V, with integrated 1 kW 12 V converter; confirm PFC AC/DC + DC-DC stage wording.</t>
  </si>
  <si>
    <t xml:space="preserve">Power Systems Design: SiC and GaN for EVs</t>
  </si>
  <si>
    <t xml:space="preserve">https://www.powersystemsdesign.com/articles/the-sic-evolution-and-gan-revolution-for-electric-vehicles/22/20881</t>
  </si>
  <si>
    <t xml:space="preserve">Trade article</t>
  </si>
  <si>
    <t xml:space="preserve">GaN vs SiC voltage fit</t>
  </si>
  <si>
    <t xml:space="preserve">Medium</t>
  </si>
  <si>
    <t xml:space="preserve">Article date unclear (12/01/2023). Don't quote day/month.</t>
  </si>
  <si>
    <t xml:space="preserve">EE Power: SiC traction inverters (ROHM)</t>
  </si>
  <si>
    <t xml:space="preserve">https://eepower.com/technical-articles/utilizing-sic-traction-technology-inverters-in-automotive-applications/</t>
  </si>
  <si>
    <t xml:space="preserve">Trade/vendor article</t>
  </si>
  <si>
    <t xml:space="preserve">Size, weight, cooling example</t>
  </si>
  <si>
    <t xml:space="preserve">Medium (single vendor)</t>
  </si>
  <si>
    <t xml:space="preserve">Page dated 16 Jul 2018. 2,400 W is high-torque, active-switch losses only. Confirm '200 kW IGBT' comparator wording on the original page.</t>
  </si>
  <si>
    <t xml:space="preserve">EE News Europe: ST SiC devices (2016)</t>
  </si>
  <si>
    <t xml:space="preserve">https://www.eenewseurope.com/en/advanced-sic-power-devices-to-accelerate-automotive-electrification/</t>
  </si>
  <si>
    <t xml:space="preserve">Trade news</t>
  </si>
  <si>
    <t xml:space="preserve">Up to 3% efficiency claim</t>
  </si>
  <si>
    <t xml:space="preserve">Low (dated 2016)</t>
  </si>
  <si>
    <t xml:space="preserve">16/17 May 2016 vendor claim, keep 'up to 3%'.</t>
  </si>
  <si>
    <t xml:space="preserve">US DOE: Power Electronics R&amp;D</t>
  </si>
  <si>
    <t xml:space="preserve">https://www.energy.gov/cmei/vehicles/power-electronics-research-and-development</t>
  </si>
  <si>
    <t xml:space="preserve">Government</t>
  </si>
  <si>
    <t xml:space="preserve">Wide-bandgap advantages (qualitative)</t>
  </si>
  <si>
    <t xml:space="preserve">Original 2014, modified May 2026. Confirm the exact /cmei/ URL opens.</t>
  </si>
  <si>
    <t xml:space="preserve">US DOE: 2023 Critical Materials Assessment (draft)</t>
  </si>
  <si>
    <t xml:space="preserve">https://www.energy.gov/sites/default/files/2023-05/2023-critical-materials-assessment.pdf</t>
  </si>
  <si>
    <t xml:space="preserve">SiC/GaN share projections; wafer bottleneck</t>
  </si>
  <si>
    <t xml:space="preserve">High (draft)</t>
  </si>
  <si>
    <t xml:space="preserve">Keep 'draft'. Shares are of power electronics overall; DOE cites Rosina &amp; Villamor 2022 for them.</t>
  </si>
  <si>
    <t xml:space="preserve">TrendForce: SiC substrate revenue 2024</t>
  </si>
  <si>
    <t xml:space="preserve">https://www.trendforce.com/presscenter/news/20250512-12574.html</t>
  </si>
  <si>
    <t xml:space="preserve">Market research</t>
  </si>
  <si>
    <t xml:space="preserve">Substrate shares; oversupply</t>
  </si>
  <si>
    <t xml:space="preserve">SUPPORTED (via secondary report)</t>
  </si>
  <si>
    <t xml:space="preserve">Spell 'TanKeBlue'. Open the original TrendForce page once.</t>
  </si>
  <si>
    <t xml:space="preserve">EE Times Asia: SiC device ranking 2023 (TrendForce)</t>
  </si>
  <si>
    <t xml:space="preserve">https://www.eetasia.com/trendforce-stmicroelectronics-leads-global-sic-power-device-market/</t>
  </si>
  <si>
    <t xml:space="preserve">Trade news (TrendForce data)</t>
  </si>
  <si>
    <t xml:space="preserve">Device shares</t>
  </si>
  <si>
    <t xml:space="preserve">PARTLY</t>
  </si>
  <si>
    <t xml:space="preserve">Used only for onsemi/GTAT and Infineon having no in-house SiC crystal. The page does NOT give onsemi 23.6% or Infineon 16.5%; those figures were removed. Device shares now cite [38].</t>
  </si>
  <si>
    <t xml:space="preserve">Renesas: AEC-Q101</t>
  </si>
  <si>
    <t xml:space="preserve">https://renesas.com/en/products/automotive-products/aec-q101</t>
  </si>
  <si>
    <t xml:space="preserve">AEC-Q101 definition</t>
  </si>
  <si>
    <t xml:space="preserve">No date shown.</t>
  </si>
  <si>
    <t xml:space="preserve">PMO India: Cabinet approves three units (29 Feb 2024)</t>
  </si>
  <si>
    <t xml:space="preserve">https://www.pmindia.gov.in/en/news_updates/giant-leap-for-india-semiconductor-mission-cabinet-approves-three-more-semiconductor-units/</t>
  </si>
  <si>
    <t xml:space="preserve">Tata, CG Power project details</t>
  </si>
  <si>
    <t xml:space="preserve">India Briefing: four new plants (Aug 2025)</t>
  </si>
  <si>
    <t xml:space="preserve">https://www.india-briefing.com/news/india-4-new-semiconductor-plants-approved-2025-39180.html/</t>
  </si>
  <si>
    <t xml:space="preserve">News/analysis</t>
  </si>
  <si>
    <t xml:space="preserve">SiCSem approval</t>
  </si>
  <si>
    <t xml:space="preserve">Medium (confirm on PIB)</t>
  </si>
  <si>
    <t xml:space="preserve">12 Aug 2025. Write 'planned/approved' fab, not operating.</t>
  </si>
  <si>
    <t xml:space="preserve">Rajya Sabha question 552, MeitY (7 Feb 2025)</t>
  </si>
  <si>
    <t xml:space="preserve">https://rsdebate.nic.in/bitstream/123456789/758379/1/PQ_267_07022025_U552_p269_p269.pdf</t>
  </si>
  <si>
    <t xml:space="preserve">OSAT investments</t>
  </si>
  <si>
    <t xml:space="preserve">UNREACHABLE</t>
  </si>
  <si>
    <t xml:space="preserve">Open the PDF yourself and confirm Rs 7,584 crore (CG Power) and Rs 3,307 crore (Kaynes).</t>
  </si>
  <si>
    <t xml:space="preserve">NITI Aayog: Future of India's Semiconductor Industry</t>
  </si>
  <si>
    <t xml:space="preserve">https://www.niti.gov.in/node/2328</t>
  </si>
  <si>
    <t xml:space="preserve">90-95% imports; USD 240 bn scenario</t>
  </si>
  <si>
    <t xml:space="preserve">ThePrint on NITI Aayog roadmap</t>
  </si>
  <si>
    <t xml:space="preserve">https://www.theprint.in/india/indias-running-the-wrong-semiconductor-race-time-to-shift-gears-niti-aayog-offers-stark-advice/2945440/</t>
  </si>
  <si>
    <t xml:space="preserve">News</t>
  </si>
  <si>
    <t xml:space="preserve">Self-sufficiency targets</t>
  </si>
  <si>
    <t xml:space="preserve">Published 30 May 2026; roadmap released 29 May 2026. Add the date.</t>
  </si>
  <si>
    <t xml:space="preserve">Tele.net: India semiconductor imports</t>
  </si>
  <si>
    <t xml:space="preserve">https://tele.net.in/?p=205919</t>
  </si>
  <si>
    <t xml:space="preserve">FY25 imports USD 30.3 bn</t>
  </si>
  <si>
    <t xml:space="preserve">No</t>
  </si>
  <si>
    <t xml:space="preserve">Rejected</t>
  </si>
  <si>
    <t xml:space="preserve">NOT SUPPORTED</t>
  </si>
  <si>
    <t xml:space="preserve">WITHDRAWN: page has no import figures. FY25 import claim removed from the report and slides (see H22).</t>
  </si>
  <si>
    <t xml:space="preserve">EE News Europe: Renesas holds fire on SiC</t>
  </si>
  <si>
    <t xml:space="preserve">https://www.eenewseurope.com/en/renesas-holds-fire-on-sic/</t>
  </si>
  <si>
    <t xml:space="preserve">Oversupply and price pressure</t>
  </si>
  <si>
    <t xml:space="preserve">5 Jun 2025. Say 'temporarily suspended'; reasons also include Wolfspeed distress and Infineon/ST 200 mm capacity.</t>
  </si>
  <si>
    <t xml:space="preserve">McKinsey: SiC wafer market uncertainty</t>
  </si>
  <si>
    <t xml:space="preserve">https://www.mckinsey.com/industries/semiconductors/our-insights/managing-uncertainty-in-the-silicon-carbide-wafer-market</t>
  </si>
  <si>
    <t xml:space="preserve">Consulting report</t>
  </si>
  <si>
    <t xml:space="preserve">Automotive-grade wafer supply</t>
  </si>
  <si>
    <t xml:space="preserve">6 Aug 2024. Say usable supply 'significantly lower' than announced capacity; no numeric limits given.</t>
  </si>
  <si>
    <t xml:space="preserve">Argus Media: EV makers shore up SiC supply</t>
  </si>
  <si>
    <t xml:space="preserve">https://argusmedia.com/en/news-and-insights/latest-market-news/2212457-chip-shortage-prompts-ev-makers-to-shore-up-sic-supply</t>
  </si>
  <si>
    <t xml:space="preserve">System-cost savings; China export controls</t>
  </si>
  <si>
    <t xml:space="preserve">Page is from 2021. Used only for system-level savings. Export-control claim moved to [37].</t>
  </si>
  <si>
    <t xml:space="preserve">EE Times Europe: SiC and GaN drive electrification</t>
  </si>
  <si>
    <t xml:space="preserve">https://www.eetimes.eu/?p=32125</t>
  </si>
  <si>
    <t xml:space="preserve">Substrate over 50% of BOM</t>
  </si>
  <si>
    <t xml:space="preserve">Could not open or find. Verify 'over 50% of BOM' manually or replace the source.</t>
  </si>
  <si>
    <t xml:space="preserve">Global SMT: India may need USD 80 bn</t>
  </si>
  <si>
    <t xml:space="preserve">https://www.globalsmt.net/?p=104856</t>
  </si>
  <si>
    <t xml:space="preserve">Imported equipment reliance; incentives</t>
  </si>
  <si>
    <t xml:space="preserve">25 Jun 2026. Attribute US$80 bn as 'industry estimate'.</t>
  </si>
  <si>
    <t xml:space="preserve">US DOE merit review 2015: 88 kW SiC MOSFET</t>
  </si>
  <si>
    <t xml:space="preserve">https://www.energy.gov/eere/vehicles/articles/vehicle-technologies-office-merit-review-2015-88-kilowatt-automotive</t>
  </si>
  <si>
    <t xml:space="preserve">Qualification beyond AEC-Q101</t>
  </si>
  <si>
    <t xml:space="preserve">Medium (dated 2015)</t>
  </si>
  <si>
    <t xml:space="preserve">Says additional qualification beyond AEC-Q101 is needed; carmakers not named. Report wording fixed.</t>
  </si>
  <si>
    <t xml:space="preserve">Newark: SPI isolated communication in EV BMS</t>
  </si>
  <si>
    <t xml:space="preserve">https://www.newark.com/es/technical-resources/how-to-guide/spi-isolated-communication-helps-battery-monitoring-system-in-evs</t>
  </si>
  <si>
    <t xml:space="preserve">Distributor guide</t>
  </si>
  <si>
    <t xml:space="preserve">Isolation in BMS</t>
  </si>
  <si>
    <t xml:space="preserve">Isolation sits between HV measurement circuit and LV MCU. No date shown.</t>
  </si>
  <si>
    <t xml:space="preserve">Utmel: IATF 16949 guide</t>
  </si>
  <si>
    <t xml:space="preserve">https://www.utmel.com/blog/categories/semiconductor/iatf-16949-for-automotive-electronics-quality-requirements-standards-alignment-and-certification-guide</t>
  </si>
  <si>
    <t xml:space="preserve">Distributor blog</t>
  </si>
  <si>
    <t xml:space="preserve">IATF 16949 definition</t>
  </si>
  <si>
    <t xml:space="preserve">Original URL blocked; hyphenated URL opened (iatf-16949). Fix URL. Dated 4 Sep 2026.</t>
  </si>
  <si>
    <t xml:space="preserve">PM India (PIB mirror): Cabinet approves two more units (5 May 2026)</t>
  </si>
  <si>
    <t xml:space="preserve">https://www.pmindia.gov.in/en/news_updates/cabinet-approves-two-more-semiconductor-manufacturing-units-with-cumulative-investment-of-more-than-rs-3900-crore/</t>
  </si>
  <si>
    <t xml:space="preserve">12 projects; shipments; Crystal Matrix, Suchi</t>
  </si>
  <si>
    <t xml:space="preserve">REPLACED with official page - SUPPORTED</t>
  </si>
  <si>
    <t xml:space="preserve">Reference [28] updated. Old test.uniindia.com link dropped.</t>
  </si>
  <si>
    <t xml:space="preserve">Entrepreneur India: two units approved (6 May 2026)</t>
  </si>
  <si>
    <t xml:space="preserve">https://india.entrepreneur.com/business-news/cabinet-approves-two-semiconductor-units-worth-inr-3900-cr-in-gujarat</t>
  </si>
  <si>
    <t xml:space="preserve">INR 76,000 crore; 12 projects</t>
  </si>
  <si>
    <t xml:space="preserve">6 May 2026.</t>
  </si>
  <si>
    <t xml:space="preserve">The Hitavada: 12 projects, official fact sheet (29 Jun 2026)</t>
  </si>
  <si>
    <t xml:space="preserve">https://www.thehitavada.com//Encyc/2026/6/29/-rs-164-lakh-cr.html</t>
  </si>
  <si>
    <t xml:space="preserve">News (official statement)</t>
  </si>
  <si>
    <t xml:space="preserve">Project mix; ISM 2.0; design support</t>
  </si>
  <si>
    <t xml:space="preserve">IANS report dated 28 Jun 2026 (Hitavada 29 Jun). Prefer official source [35].</t>
  </si>
  <si>
    <t xml:space="preserve">Kotak Neo: ISM 2.0 INR 1.25 lakh crore</t>
  </si>
  <si>
    <t xml:space="preserve">https://www.kotakneo.com/news/sectors/india-semiconductor-mission-2-125000-crore-approval-2026/</t>
  </si>
  <si>
    <t xml:space="preserve">ISM 2.0 funding clearance</t>
  </si>
  <si>
    <t xml:space="preserve">SUPPORTED (earlier step)</t>
  </si>
  <si>
    <t xml:space="preserve">Finance Ministry clearance only; Cabinet approved ISM 2.0 on 15 Jul 2026 [35]. Report now says so.</t>
  </si>
  <si>
    <t xml:space="preserve">Evertiq: SiCSem starts work (3 Nov 2025)</t>
  </si>
  <si>
    <t xml:space="preserve">https://evertiq.com/news/2025-11-03-sicsem-starts-work-on-220m-chip-production-plant-in-india</t>
  </si>
  <si>
    <t xml:space="preserve">SiCSem capacity, timeline, investment</t>
  </si>
  <si>
    <t xml:space="preserve">Capacity, 96 M units, 2027-28, US$220 M confirmed. Ground-breaking date not on page: report says early Nov 2025.</t>
  </si>
  <si>
    <t xml:space="preserve">UNI India: SiCSem INR 3,406 crore (15 Sep 2026)</t>
  </si>
  <si>
    <t xml:space="preserve">https://www.uniindia.com/east-india/tech-odisha-semiconductor-project/180328</t>
  </si>
  <si>
    <t xml:space="preserve">News agency</t>
  </si>
  <si>
    <t xml:space="preserve">SiCSem approval and investment</t>
  </si>
  <si>
    <t xml:space="preserve">Approval by Falta SEZ Unit Approval Committee (Sep 2026), Rs 3,406.25 crore. Report wording fixed.</t>
  </si>
  <si>
    <t xml:space="preserve">Indian Infrastructure: SiCSem approval (18 Sep 2026)</t>
  </si>
  <si>
    <t xml:space="preserve">https://indianinfrastructure.com/2026/09/18/odisha-government-approves-building-silicon-carbide-semiconductor-plant-worth-rs-34-06-billion-near-bhubaneswar/</t>
  </si>
  <si>
    <t xml:space="preserve">SiCSem product mix and output</t>
  </si>
  <si>
    <t xml:space="preserve">Body says Falta SEZ committee approved; headline says Odisha govt. Use body wording.</t>
  </si>
  <si>
    <t xml:space="preserve">R1</t>
  </si>
  <si>
    <t xml:space="preserve">Tradejini broker blog</t>
  </si>
  <si>
    <t xml:space="preserve">https://www.tradejini.com/blogs/inside-indias-ambitious-semiconductor-manufacturing-mission</t>
  </si>
  <si>
    <t xml:space="preserve">Broker blog</t>
  </si>
  <si>
    <t xml:space="preserve">Tata-PSMC fab details</t>
  </si>
  <si>
    <t xml:space="preserve">Weak; replaced by [14]</t>
  </si>
  <si>
    <t xml:space="preserve">R2</t>
  </si>
  <si>
    <t xml:space="preserve">Adda247 exam-prep site</t>
  </si>
  <si>
    <t xml:space="preserve">https://currentaffairs.adda247.com/semiconductor-plants-in-india-2026-complete-list-locations-and-manufacturing-details/</t>
  </si>
  <si>
    <t xml:space="preserve">Exam-prep site</t>
  </si>
  <si>
    <t xml:space="preserve">12-projects claim</t>
  </si>
  <si>
    <t xml:space="preserve">Weak; replaced by [28][29][30]</t>
  </si>
  <si>
    <t xml:space="preserve">R3</t>
  </si>
  <si>
    <t xml:space="preserve">Ananta IAS blog</t>
  </si>
  <si>
    <t xml:space="preserve">https://anantamias.com/semiconductor-mission-india/</t>
  </si>
  <si>
    <t xml:space="preserve">Exam-prep blog</t>
  </si>
  <si>
    <t xml:space="preserve">'Six projects' claim</t>
  </si>
  <si>
    <t xml:space="preserve">Unreliable; counts differ</t>
  </si>
  <si>
    <t xml:space="preserve">R4</t>
  </si>
  <si>
    <t xml:space="preserve">PatSnap blog</t>
  </si>
  <si>
    <t xml:space="preserve">https://www.patsnap.com/resources/blog/articles/sic-replacing-igbt-in-ev-inverters-3-5-efficiency-gain/</t>
  </si>
  <si>
    <t xml:space="preserve">Vendor blog</t>
  </si>
  <si>
    <t xml:space="preserve">3-5% efficiency claim</t>
  </si>
  <si>
    <t xml:space="preserve">Weak; not used (see conflict C1)</t>
  </si>
  <si>
    <t xml:space="preserve">R5</t>
  </si>
  <si>
    <t xml:space="preserve">Laoyaoba article (2023)</t>
  </si>
  <si>
    <t xml:space="preserve">https://laoyaoba.com/n/882015</t>
  </si>
  <si>
    <t xml:space="preserve">Trade news (2023)</t>
  </si>
  <si>
    <t xml:space="preserve">Older SiC shares</t>
  </si>
  <si>
    <t xml:space="preserve">Outdated; different method</t>
  </si>
  <si>
    <t xml:space="preserve">R6</t>
  </si>
  <si>
    <t xml:space="preserve">Digitimes SiC tag page</t>
  </si>
  <si>
    <t xml:space="preserve">https://www.digitimes.com/tag/sic/0118558.html</t>
  </si>
  <si>
    <t xml:space="preserve">Trade news (tag page)</t>
  </si>
  <si>
    <t xml:space="preserve">Oversupply claim</t>
  </si>
  <si>
    <t xml:space="preserve">No original article found</t>
  </si>
  <si>
    <t xml:space="preserve">R7</t>
  </si>
  <si>
    <t xml:space="preserve">Coherent Market Insights page</t>
  </si>
  <si>
    <t xml:space="preserve">URL not given by Perplexity</t>
  </si>
  <si>
    <t xml:space="preserve">Market-research marketing page</t>
  </si>
  <si>
    <t xml:space="preserve">Taiwan concentration</t>
  </si>
  <si>
    <t xml:space="preserve">Marketing page; uncheckable</t>
  </si>
  <si>
    <t xml:space="preserve">R8</t>
  </si>
  <si>
    <t xml:space="preserve">ASL India newsletter</t>
  </si>
  <si>
    <t xml:space="preserve">https://aslindia.net/newsletters/first-made-in-india-semiconductor-chip-to-roll-out-soon-ashwini-vaishnaw-says</t>
  </si>
  <si>
    <t xml:space="preserve">Newsletter</t>
  </si>
  <si>
    <t xml:space="preserve">Project status Aug 2025</t>
  </si>
  <si>
    <t xml:space="preserve">Outdated; replaced by 2026 reports</t>
  </si>
  <si>
    <t xml:space="preserve">PM India (PIB mirror): Cabinet approval 15 Jul 2026 - 12 units, over Rs 1.64 lakh crore; ISM 2.0 approved</t>
  </si>
  <si>
    <t xml:space="preserve">https://www.pmindia.gov.in/?p=16882929</t>
  </si>
  <si>
    <t xml:space="preserve">Official count of ISM projects; ISM 2.0 approval (Rs 1,27,500 crore)</t>
  </si>
  <si>
    <t xml:space="preserve">Added 25 Oct 2026 - SUPPORTED</t>
  </si>
  <si>
    <t xml:space="preserve">New source, reference [35] in the final report.</t>
  </si>
  <si>
    <t xml:space="preserve">PM India (PIB mirror): Cabinet approves units in Odisha, Punjab, Andhra Pradesh (12 Aug 2025)</t>
  </si>
  <si>
    <t xml:space="preserve">https://www.pmindia.gov.in/en/news_updates/cabinet-approves-semiconductor-manufacturing-units-in-odisha-punjab-and-andhra-pradesh-with-an-outlay-of-rs-4600-crore</t>
  </si>
  <si>
    <t xml:space="preserve">SiCSem: 60,000 wafers/yr, 96 million units</t>
  </si>
  <si>
    <t xml:space="preserve">New source, reference [36] in the final report.</t>
  </si>
  <si>
    <t xml:space="preserve">Korea Times: China bans gallium, germanium, antimony exports to US (3 Dec 2024)</t>
  </si>
  <si>
    <t xml:space="preserve">https://www.koreatimes.co.kr/amp/world/20241203/china-bans-exports-of-gallium-germanium-antimony-to-us</t>
  </si>
  <si>
    <t xml:space="preserve">China export controls on gallium, germanium, antimony</t>
  </si>
  <si>
    <t xml:space="preserve">New source, reference [37] in the final report.</t>
  </si>
  <si>
    <t xml:space="preserve">TrendForce (DRAMeXchange): ST 32.6%, onsemi second, 2023 SiC power device ranking (20 Jun 2024)</t>
  </si>
  <si>
    <t xml:space="preserve">https://dramexchange.com/WeeklyResearch/Post/2/12036.html</t>
  </si>
  <si>
    <t xml:space="preserve">Device shares: ST 32.6%; top five 91.9%</t>
  </si>
  <si>
    <t xml:space="preserve">New source, reference [38] in the final report.</t>
  </si>
  <si>
    <t xml:space="preserve">Toshiba: SiC SBD FAQ (Si, SiC, GaN material properties)</t>
  </si>
  <si>
    <t xml:space="preserve">https://toshiba.semicon-storage.com/us/semiconductor/knowledge/faq/diode_sic-sbd/sic-sbd001.html</t>
  </si>
  <si>
    <t xml:space="preserve">Bandgap and thermal conductivity of Si, 4H-SiC, GaN</t>
  </si>
  <si>
    <t xml:space="preserve">New source, reference [39] in the final report.</t>
  </si>
  <si>
    <t xml:space="preserve">Richardson RFPD: SiC or GaN, choosing wide bandgap technology</t>
  </si>
  <si>
    <t xml:space="preserve">https://www.richardsonrfpd.com/ep-technical-articles/sic-or-gan-choosing-the-best-wide-bandgap-technology-for-your-application/</t>
  </si>
  <si>
    <t xml:space="preserve">Distributor article</t>
  </si>
  <si>
    <t xml:space="preserve">Bandgap and thermal conductivity of Si, SiC, GaN</t>
  </si>
  <si>
    <t xml:space="preserve">New source, reference [40] in the final report.</t>
  </si>
  <si>
    <t xml:space="preserve">Source log summary (updates automatically)</t>
  </si>
  <si>
    <t xml:space="preserve">Total sources logged</t>
  </si>
  <si>
    <t xml:space="preserve">Rejected (not used)</t>
  </si>
  <si>
    <t xml:space="preserve">Status of used sources</t>
  </si>
  <si>
    <t xml:space="preserve">Date to confirm</t>
  </si>
  <si>
    <t xml:space="preserve">Used sources opened and confirmed (%)</t>
  </si>
  <si>
    <t xml:space="preserve">Open actions still to do</t>
  </si>
  <si>
    <t xml:space="preserve">Used sources by type</t>
  </si>
  <si>
    <t xml:space="preserve">Market research / consulting</t>
  </si>
  <si>
    <t xml:space="preserve">Note: 'Opened and confirmed' means the full page was opened and read. Others were read as search excerpts; open them before submission.</t>
  </si>
  <si>
    <t xml:space="preserve">How the automation works</t>
  </si>
  <si>
    <t xml:space="preserve">1. Each source gets one row: ID, URL, type, claim supported, date accessed, trust level.</t>
  </si>
  <si>
    <t xml:space="preserve">2. Pick the verification status from the drop-down (column I). Column J (Open action) updates by formula.</t>
  </si>
  <si>
    <t xml:space="preserve">3. The Summary sheet counts statuses and types with COUNTIF/COUNTIFS, so it needs no manual totals.</t>
  </si>
  <si>
    <t xml:space="preserve">4. Colour rules: green = done, yellow = still to open or check the date, red = do not cite.</t>
  </si>
  <si>
    <t xml:space="preserve">5. Optional extension: connect a Google Form to a Google Sheet (or a Zapier/Make flow) so each submitted URL adds a row with today's date and status 'Excerpt read - open and confirm'.</t>
  </si>
  <si>
    <t xml:space="preserve">6. Before submission: filter column J for 'Open link and confirm' and 'Check page date' and clear every row.</t>
  </si>
  <si>
    <t xml:space="preserve">Sources: ID numbers 1-34 match the reference numbers in the research report; R1-R8 are rejected sources.</t>
  </si>
  <si>
    <t xml:space="preserve">Update 24 Oct 2026: columns K-L added from a re-check of all 34 used sources. Statuses are Opened and confirmed where the page text was read. [5], [16], [23] could not be opened in the final check and stay flagged; [19] is withdrawn.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</si>
</sst>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 mmm\ yyyy"/>
    <numFmt numFmtId="166" formatCode="General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h01.tci-thaijo.org/index.php/TNIJournal/article/view/253949" TargetMode="External"/><Relationship Id="rId2" Type="http://schemas.openxmlformats.org/officeDocument/2006/relationships/hyperlink" Target="https://www.ti.com/document-viewer/lit/html/SSZTD11/GUID-A8D6BB1F-85F9-43C0-970D-A6B638DA5F7B" TargetMode="External"/><Relationship Id="rId3" Type="http://schemas.openxmlformats.org/officeDocument/2006/relationships/hyperlink" Target="https://www.nxp.com/docs/en/fact-sheet/BMx7318FS.pdf" TargetMode="External"/><Relationship Id="rId4" Type="http://schemas.openxmlformats.org/officeDocument/2006/relationships/hyperlink" Target="https://www.analog.com/en/signals/thought-leadership/the-amazing-technology-behind-ev-batteries.html" TargetMode="External"/><Relationship Id="rId5" Type="http://schemas.openxmlformats.org/officeDocument/2006/relationships/hyperlink" Target="https://pmc.ncbi.nlm.nih.gov/articles/PMC11679712/" TargetMode="External"/><Relationship Id="rId6" Type="http://schemas.openxmlformats.org/officeDocument/2006/relationships/hyperlink" Target="https://www.powersystemsdesign.com/articles/the-sic-evolution-and-gan-revolution-for-electric-vehicles/22/20881" TargetMode="External"/><Relationship Id="rId7" Type="http://schemas.openxmlformats.org/officeDocument/2006/relationships/hyperlink" Target="https://eepower.com/technical-articles/utilizing-sic-traction-technology-inverters-in-automotive-applications/" TargetMode="External"/><Relationship Id="rId8" Type="http://schemas.openxmlformats.org/officeDocument/2006/relationships/hyperlink" Target="https://www.eenewseurope.com/en/advanced-sic-power-devices-to-accelerate-automotive-electrification/" TargetMode="External"/><Relationship Id="rId9" Type="http://schemas.openxmlformats.org/officeDocument/2006/relationships/hyperlink" Target="https://www.energy.gov/cmei/vehicles/power-electronics-research-and-development" TargetMode="External"/><Relationship Id="rId10" Type="http://schemas.openxmlformats.org/officeDocument/2006/relationships/hyperlink" Target="https://www.energy.gov/sites/default/files/2023-05/2023-critical-materials-assessment.pdf" TargetMode="External"/><Relationship Id="rId11" Type="http://schemas.openxmlformats.org/officeDocument/2006/relationships/hyperlink" Target="https://www.trendforce.com/presscenter/news/20250512-12574.html" TargetMode="External"/><Relationship Id="rId12" Type="http://schemas.openxmlformats.org/officeDocument/2006/relationships/hyperlink" Target="https://www.eetasia.com/trendforce-stmicroelectronics-leads-global-sic-power-device-market/" TargetMode="External"/><Relationship Id="rId13" Type="http://schemas.openxmlformats.org/officeDocument/2006/relationships/hyperlink" Target="https://renesas.com/en/products/automotive-products/aec-q101" TargetMode="External"/><Relationship Id="rId14" Type="http://schemas.openxmlformats.org/officeDocument/2006/relationships/hyperlink" Target="https://www.pmindia.gov.in/en/news_updates/giant-leap-for-india-semiconductor-mission-cabinet-approves-three-more-semiconductor-units/" TargetMode="External"/><Relationship Id="rId15" Type="http://schemas.openxmlformats.org/officeDocument/2006/relationships/hyperlink" Target="https://www.india-briefing.com/news/india-4-new-semiconductor-plants-approved-2025-39180.html/" TargetMode="External"/><Relationship Id="rId16" Type="http://schemas.openxmlformats.org/officeDocument/2006/relationships/hyperlink" Target="https://rsdebate.nic.in/bitstream/123456789/758379/1/PQ_267_07022025_U552_p269_p269.pdf" TargetMode="External"/><Relationship Id="rId17" Type="http://schemas.openxmlformats.org/officeDocument/2006/relationships/hyperlink" Target="https://www.niti.gov.in/node/2328" TargetMode="External"/><Relationship Id="rId18" Type="http://schemas.openxmlformats.org/officeDocument/2006/relationships/hyperlink" Target="https://www.theprint.in/india/indias-running-the-wrong-semiconductor-race-time-to-shift-gears-niti-aayog-offers-stark-advice/2945440/" TargetMode="External"/><Relationship Id="rId19" Type="http://schemas.openxmlformats.org/officeDocument/2006/relationships/hyperlink" Target="https://tele.net.in/?p=205919" TargetMode="External"/><Relationship Id="rId20" Type="http://schemas.openxmlformats.org/officeDocument/2006/relationships/hyperlink" Target="https://www.eenewseurope.com/en/renesas-holds-fire-on-sic/" TargetMode="External"/><Relationship Id="rId21" Type="http://schemas.openxmlformats.org/officeDocument/2006/relationships/hyperlink" Target="https://www.mckinsey.com/industries/semiconductors/our-insights/managing-uncertainty-in-the-silicon-carbide-wafer-market" TargetMode="External"/><Relationship Id="rId22" Type="http://schemas.openxmlformats.org/officeDocument/2006/relationships/hyperlink" Target="https://argusmedia.com/en/news-and-insights/latest-market-news/2212457-chip-shortage-prompts-ev-makers-to-shore-up-sic-supply" TargetMode="External"/><Relationship Id="rId23" Type="http://schemas.openxmlformats.org/officeDocument/2006/relationships/hyperlink" Target="https://www.eetimes.eu/?p=32125" TargetMode="External"/><Relationship Id="rId24" Type="http://schemas.openxmlformats.org/officeDocument/2006/relationships/hyperlink" Target="https://www.globalsmt.net/?p=104856" TargetMode="External"/><Relationship Id="rId25" Type="http://schemas.openxmlformats.org/officeDocument/2006/relationships/hyperlink" Target="https://www.energy.gov/eere/vehicles/articles/vehicle-technologies-office-merit-review-2015-88-kilowatt-automotive" TargetMode="External"/><Relationship Id="rId26" Type="http://schemas.openxmlformats.org/officeDocument/2006/relationships/hyperlink" Target="https://www.newark.com/es/technical-resources/how-to-guide/spi-isolated-communication-helps-battery-monitoring-system-in-evs" TargetMode="External"/><Relationship Id="rId27" Type="http://schemas.openxmlformats.org/officeDocument/2006/relationships/hyperlink" Target="https://www.utmel.com/blog/categories/semiconductor/iatf16949-for-automotive-electronics-quality-requirements-standards-alignment-and-certification-guide" TargetMode="External"/><Relationship Id="rId28" Type="http://schemas.openxmlformats.org/officeDocument/2006/relationships/hyperlink" Target="https://test.uniindia.com/news/india/cabinet-semiconductor-cleared/3833755.html" TargetMode="External"/><Relationship Id="rId29" Type="http://schemas.openxmlformats.org/officeDocument/2006/relationships/hyperlink" Target="https://india.entrepreneur.com/business-news/cabinet-approves-two-semiconductor-units-worth-inr-3900-cr-in-gujarat" TargetMode="External"/><Relationship Id="rId30" Type="http://schemas.openxmlformats.org/officeDocument/2006/relationships/hyperlink" Target="https://www.thehitavada.com//Encyc/2026/6/29/-rs-164-lakh-cr.html" TargetMode="External"/><Relationship Id="rId31" Type="http://schemas.openxmlformats.org/officeDocument/2006/relationships/hyperlink" Target="https://www.kotakneo.com/news/sectors/india-semiconductor-mission-2-125000-crore-approval-2026/" TargetMode="External"/><Relationship Id="rId32" Type="http://schemas.openxmlformats.org/officeDocument/2006/relationships/hyperlink" Target="https://evertiq.com/news/2025-11-03-sicsem-starts-work-on-220m-chip-production-plant-in-india" TargetMode="External"/><Relationship Id="rId33" Type="http://schemas.openxmlformats.org/officeDocument/2006/relationships/hyperlink" Target="https://www.uniindia.com/east-india/tech-odisha-semiconductor-project/180328" TargetMode="External"/><Relationship Id="rId34" Type="http://schemas.openxmlformats.org/officeDocument/2006/relationships/hyperlink" Target="https://indianinfrastructure.com/2026/09/18/odisha-government-approves-building-silicon-carbide-semiconductor-plant-worth-rs-34-06-billion-near-bhubaneswar/" TargetMode="External"/><Relationship Id="rId35" Type="http://schemas.openxmlformats.org/officeDocument/2006/relationships/hyperlink" Target="https://www.tradejini.com/blogs/inside-indias-ambitious-semiconductor-manufacturing-mission" TargetMode="External"/><Relationship Id="rId36" Type="http://schemas.openxmlformats.org/officeDocument/2006/relationships/hyperlink" Target="https://currentaffairs.adda247.com/semiconductor-plants-in-india-2026-complete-list-locations-and-manufacturing-details/" TargetMode="External"/><Relationship Id="rId37" Type="http://schemas.openxmlformats.org/officeDocument/2006/relationships/hyperlink" Target="https://anantamias.com/semiconductor-mission-india/" TargetMode="External"/><Relationship Id="rId38" Type="http://schemas.openxmlformats.org/officeDocument/2006/relationships/hyperlink" Target="https://www.patsnap.com/resources/blog/articles/sic-replacing-igbt-in-ev-inverters-3-5-efficiency-gain/" TargetMode="External"/><Relationship Id="rId39" Type="http://schemas.openxmlformats.org/officeDocument/2006/relationships/hyperlink" Target="https://laoyaoba.com/n/882015" TargetMode="External"/><Relationship Id="rId40" Type="http://schemas.openxmlformats.org/officeDocument/2006/relationships/hyperlink" Target="https://www.digitimes.com/tag/sic/0118558.html" TargetMode="External"/><Relationship Id="rId41" Type="http://schemas.openxmlformats.org/officeDocument/2006/relationships/hyperlink" Target="https://aslindia.net/newsletters/first-made-in-india-semiconductor-chip-to-roll-out-soon-ashwini-vaishnaw-says" TargetMode="External"/><Relationship Id="rId4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8"/>
    <col collapsed="false" customWidth="true" hidden="false" outlineLevel="0" max="3" min="3" style="1" width="48"/>
    <col collapsed="false" customWidth="true" hidden="false" outlineLevel="0" max="4" min="4" style="1" width="20"/>
    <col collapsed="false" customWidth="true" hidden="false" outlineLevel="0" max="5" min="5" style="1" width="34"/>
    <col collapsed="false" customWidth="true" hidden="false" outlineLevel="0" max="6" min="6" style="1" width="14"/>
    <col collapsed="false" customWidth="true" hidden="false" outlineLevel="0" max="7" min="7" style="1" width="20"/>
    <col collapsed="false" customWidth="true" hidden="false" outlineLevel="0" max="8" min="8" style="1" width="10"/>
    <col collapsed="false" customWidth="true" hidden="false" outlineLevel="0" max="9" min="9" style="1" width="30"/>
    <col collapsed="false" customWidth="true" hidden="false" outlineLevel="0" max="10" min="10" style="1" width="22"/>
    <col collapsed="false" customWidth="true" hidden="false" outlineLevel="0" max="11" min="11" style="0" width="24"/>
    <col collapsed="false" customWidth="true" hidden="false" outlineLevel="0" max="12" min="12" style="0" width="70"/>
  </cols>
  <sheetData>
    <row r="1" customFormat="false" ht="17.25" hidden="false" customHeight="true" outlineLevel="0" collapsed="false">
      <c r="A1" s="2" t="s">
        <v>0</v>
      </c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</row>
    <row r="5" customFormat="false" ht="15" hidden="false" customHeight="true" outlineLevel="0" collapsed="false">
      <c r="A5" s="5" t="n">
        <v>1</v>
      </c>
      <c r="B5" s="5" t="s">
        <v>14</v>
      </c>
      <c r="C5" s="6" t="s">
        <v>15</v>
      </c>
      <c r="D5" s="5" t="s">
        <v>16</v>
      </c>
      <c r="E5" s="5" t="s">
        <v>17</v>
      </c>
      <c r="F5" s="7" t="n">
        <v>46313</v>
      </c>
      <c r="G5" s="8" t="s">
        <v>18</v>
      </c>
      <c r="H5" s="8" t="s">
        <v>19</v>
      </c>
      <c r="I5" s="8" t="s">
        <v>20</v>
      </c>
      <c r="J5" s="9" t="str">
        <f aca="false">IF(I5="Opened and confirmed","Done",IF(I5="Rejected","Do not cite",IF(I5="Date to confirm","Check page date","Open link and confirm")))</f>
        <v>Done</v>
      </c>
      <c r="K5" s="10" t="s">
        <v>21</v>
      </c>
      <c r="L5" s="10" t="s">
        <v>22</v>
      </c>
    </row>
    <row r="6" customFormat="false" ht="15" hidden="false" customHeight="true" outlineLevel="0" collapsed="false">
      <c r="A6" s="5" t="n">
        <v>2</v>
      </c>
      <c r="B6" s="5" t="s">
        <v>23</v>
      </c>
      <c r="C6" s="6" t="s">
        <v>24</v>
      </c>
      <c r="D6" s="5" t="s">
        <v>25</v>
      </c>
      <c r="E6" s="5" t="s">
        <v>26</v>
      </c>
      <c r="F6" s="7" t="n">
        <v>46313</v>
      </c>
      <c r="G6" s="8" t="s">
        <v>27</v>
      </c>
      <c r="H6" s="8" t="s">
        <v>19</v>
      </c>
      <c r="I6" s="8" t="s">
        <v>20</v>
      </c>
      <c r="J6" s="9" t="str">
        <f aca="false">IF(I6="Opened and confirmed","Done",IF(I6="Rejected","Do not cite",IF(I6="Date to confirm","Check page date","Open link and confirm")))</f>
        <v>Done</v>
      </c>
      <c r="K6" s="10" t="s">
        <v>21</v>
      </c>
      <c r="L6" s="10" t="s">
        <v>28</v>
      </c>
    </row>
    <row r="7" customFormat="false" ht="15" hidden="false" customHeight="true" outlineLevel="0" collapsed="false">
      <c r="A7" s="5" t="n">
        <v>3</v>
      </c>
      <c r="B7" s="5" t="s">
        <v>29</v>
      </c>
      <c r="C7" s="6" t="s">
        <v>30</v>
      </c>
      <c r="D7" s="5" t="s">
        <v>25</v>
      </c>
      <c r="E7" s="5" t="s">
        <v>31</v>
      </c>
      <c r="F7" s="7" t="n">
        <v>46313</v>
      </c>
      <c r="G7" s="8" t="s">
        <v>27</v>
      </c>
      <c r="H7" s="8" t="s">
        <v>19</v>
      </c>
      <c r="I7" s="8" t="s">
        <v>20</v>
      </c>
      <c r="J7" s="9" t="str">
        <f aca="false">IF(I7="Opened and confirmed","Done",IF(I7="Rejected","Do not cite",IF(I7="Date to confirm","Check page date","Open link and confirm")))</f>
        <v>Done</v>
      </c>
      <c r="K7" s="10" t="s">
        <v>21</v>
      </c>
      <c r="L7" s="10" t="s">
        <v>32</v>
      </c>
    </row>
    <row r="8" customFormat="false" ht="15" hidden="false" customHeight="true" outlineLevel="0" collapsed="false">
      <c r="A8" s="5" t="n">
        <v>4</v>
      </c>
      <c r="B8" s="5" t="s">
        <v>33</v>
      </c>
      <c r="C8" s="6" t="s">
        <v>34</v>
      </c>
      <c r="D8" s="5" t="s">
        <v>25</v>
      </c>
      <c r="E8" s="5" t="s">
        <v>35</v>
      </c>
      <c r="F8" s="7" t="n">
        <v>46313</v>
      </c>
      <c r="G8" s="8" t="s">
        <v>27</v>
      </c>
      <c r="H8" s="8" t="s">
        <v>19</v>
      </c>
      <c r="I8" s="8" t="s">
        <v>20</v>
      </c>
      <c r="J8" s="9" t="str">
        <f aca="false">IF(I8="Opened and confirmed","Done",IF(I8="Rejected","Do not cite",IF(I8="Date to confirm","Check page date","Open link and confirm")))</f>
        <v>Done</v>
      </c>
      <c r="K8" s="10" t="s">
        <v>21</v>
      </c>
      <c r="L8" s="10" t="s">
        <v>36</v>
      </c>
    </row>
    <row r="9" customFormat="false" ht="15" hidden="false" customHeight="true" outlineLevel="0" collapsed="false">
      <c r="A9" s="5" t="n">
        <v>5</v>
      </c>
      <c r="B9" s="5" t="s">
        <v>37</v>
      </c>
      <c r="C9" s="6" t="s">
        <v>38</v>
      </c>
      <c r="D9" s="5" t="s">
        <v>16</v>
      </c>
      <c r="E9" s="5" t="s">
        <v>39</v>
      </c>
      <c r="F9" s="7" t="n">
        <v>46313</v>
      </c>
      <c r="G9" s="8" t="s">
        <v>18</v>
      </c>
      <c r="H9" s="8" t="s">
        <v>19</v>
      </c>
      <c r="I9" s="8" t="s">
        <v>40</v>
      </c>
      <c r="J9" s="9" t="str">
        <f aca="false">IF(I9="Opened and confirmed","Done",IF(I9="Rejected","Do not cite",IF(I9="Date to confirm","Check page date","Open link and confirm")))</f>
        <v>Open link and confirm</v>
      </c>
      <c r="K9" s="10" t="s">
        <v>41</v>
      </c>
      <c r="L9" s="10" t="s">
        <v>42</v>
      </c>
    </row>
    <row r="10" customFormat="false" ht="15" hidden="false" customHeight="true" outlineLevel="0" collapsed="false">
      <c r="A10" s="5" t="n">
        <v>6</v>
      </c>
      <c r="B10" s="5" t="s">
        <v>43</v>
      </c>
      <c r="C10" s="6" t="s">
        <v>44</v>
      </c>
      <c r="D10" s="5" t="s">
        <v>45</v>
      </c>
      <c r="E10" s="5" t="s">
        <v>46</v>
      </c>
      <c r="F10" s="7" t="n">
        <v>46313</v>
      </c>
      <c r="G10" s="8" t="s">
        <v>47</v>
      </c>
      <c r="H10" s="8" t="s">
        <v>19</v>
      </c>
      <c r="I10" s="8" t="s">
        <v>20</v>
      </c>
      <c r="J10" s="9" t="str">
        <f aca="false">IF(I10="Opened and confirmed","Done",IF(I10="Rejected","Do not cite",IF(I10="Date to confirm","Check page date","Open link and confirm")))</f>
        <v>Done</v>
      </c>
      <c r="K10" s="10" t="s">
        <v>21</v>
      </c>
      <c r="L10" s="10" t="s">
        <v>48</v>
      </c>
    </row>
    <row r="11" customFormat="false" ht="15" hidden="false" customHeight="true" outlineLevel="0" collapsed="false">
      <c r="A11" s="5" t="n">
        <v>7</v>
      </c>
      <c r="B11" s="5" t="s">
        <v>49</v>
      </c>
      <c r="C11" s="6" t="s">
        <v>50</v>
      </c>
      <c r="D11" s="5" t="s">
        <v>51</v>
      </c>
      <c r="E11" s="5" t="s">
        <v>52</v>
      </c>
      <c r="F11" s="7" t="n">
        <v>46313</v>
      </c>
      <c r="G11" s="8" t="s">
        <v>53</v>
      </c>
      <c r="H11" s="8" t="s">
        <v>19</v>
      </c>
      <c r="I11" s="8" t="s">
        <v>20</v>
      </c>
      <c r="J11" s="9" t="str">
        <f aca="false">IF(I11="Opened and confirmed","Done",IF(I11="Rejected","Do not cite",IF(I11="Date to confirm","Check page date","Open link and confirm")))</f>
        <v>Done</v>
      </c>
      <c r="K11" s="10" t="s">
        <v>21</v>
      </c>
      <c r="L11" s="10" t="s">
        <v>54</v>
      </c>
    </row>
    <row r="12" customFormat="false" ht="15" hidden="false" customHeight="true" outlineLevel="0" collapsed="false">
      <c r="A12" s="5" t="n">
        <v>8</v>
      </c>
      <c r="B12" s="5" t="s">
        <v>55</v>
      </c>
      <c r="C12" s="6" t="s">
        <v>56</v>
      </c>
      <c r="D12" s="5" t="s">
        <v>57</v>
      </c>
      <c r="E12" s="5" t="s">
        <v>58</v>
      </c>
      <c r="F12" s="7" t="n">
        <v>46313</v>
      </c>
      <c r="G12" s="8" t="s">
        <v>59</v>
      </c>
      <c r="H12" s="8" t="s">
        <v>19</v>
      </c>
      <c r="I12" s="8" t="s">
        <v>20</v>
      </c>
      <c r="J12" s="9" t="str">
        <f aca="false">IF(I12="Opened and confirmed","Done",IF(I12="Rejected","Do not cite",IF(I12="Date to confirm","Check page date","Open link and confirm")))</f>
        <v>Done</v>
      </c>
      <c r="K12" s="10" t="s">
        <v>21</v>
      </c>
      <c r="L12" s="10" t="s">
        <v>60</v>
      </c>
    </row>
    <row r="13" customFormat="false" ht="15" hidden="false" customHeight="true" outlineLevel="0" collapsed="false">
      <c r="A13" s="5" t="n">
        <v>9</v>
      </c>
      <c r="B13" s="5" t="s">
        <v>61</v>
      </c>
      <c r="C13" s="6" t="s">
        <v>62</v>
      </c>
      <c r="D13" s="5" t="s">
        <v>63</v>
      </c>
      <c r="E13" s="5" t="s">
        <v>64</v>
      </c>
      <c r="F13" s="7" t="n">
        <v>46313</v>
      </c>
      <c r="G13" s="8" t="s">
        <v>18</v>
      </c>
      <c r="H13" s="8" t="s">
        <v>19</v>
      </c>
      <c r="I13" s="8" t="s">
        <v>20</v>
      </c>
      <c r="J13" s="9" t="str">
        <f aca="false">IF(I13="Opened and confirmed","Done",IF(I13="Rejected","Do not cite",IF(I13="Date to confirm","Check page date","Open link and confirm")))</f>
        <v>Done</v>
      </c>
      <c r="K13" s="10" t="s">
        <v>21</v>
      </c>
      <c r="L13" s="10" t="s">
        <v>65</v>
      </c>
    </row>
    <row r="14" customFormat="false" ht="23.25" hidden="false" customHeight="true" outlineLevel="0" collapsed="false">
      <c r="A14" s="5" t="n">
        <v>10</v>
      </c>
      <c r="B14" s="5" t="s">
        <v>66</v>
      </c>
      <c r="C14" s="6" t="s">
        <v>67</v>
      </c>
      <c r="D14" s="5" t="s">
        <v>63</v>
      </c>
      <c r="E14" s="5" t="s">
        <v>68</v>
      </c>
      <c r="F14" s="7" t="n">
        <v>46313</v>
      </c>
      <c r="G14" s="8" t="s">
        <v>69</v>
      </c>
      <c r="H14" s="8" t="s">
        <v>19</v>
      </c>
      <c r="I14" s="8" t="s">
        <v>20</v>
      </c>
      <c r="J14" s="9" t="str">
        <f aca="false">IF(I14="Opened and confirmed","Done",IF(I14="Rejected","Do not cite",IF(I14="Date to confirm","Check page date","Open link and confirm")))</f>
        <v>Done</v>
      </c>
      <c r="K14" s="10" t="s">
        <v>21</v>
      </c>
      <c r="L14" s="10" t="s">
        <v>70</v>
      </c>
    </row>
    <row r="15" customFormat="false" ht="15" hidden="false" customHeight="true" outlineLevel="0" collapsed="false">
      <c r="A15" s="5" t="n">
        <v>11</v>
      </c>
      <c r="B15" s="5" t="s">
        <v>71</v>
      </c>
      <c r="C15" s="6" t="s">
        <v>72</v>
      </c>
      <c r="D15" s="5" t="s">
        <v>73</v>
      </c>
      <c r="E15" s="5" t="s">
        <v>74</v>
      </c>
      <c r="F15" s="7" t="n">
        <v>46313</v>
      </c>
      <c r="G15" s="8" t="s">
        <v>18</v>
      </c>
      <c r="H15" s="8" t="s">
        <v>19</v>
      </c>
      <c r="I15" s="8" t="s">
        <v>20</v>
      </c>
      <c r="J15" s="9" t="str">
        <f aca="false">IF(I15="Opened and confirmed","Done",IF(I15="Rejected","Do not cite",IF(I15="Date to confirm","Check page date","Open link and confirm")))</f>
        <v>Done</v>
      </c>
      <c r="K15" s="10" t="s">
        <v>75</v>
      </c>
      <c r="L15" s="10" t="s">
        <v>76</v>
      </c>
    </row>
    <row r="16" customFormat="false" ht="23.25" hidden="false" customHeight="true" outlineLevel="0" collapsed="false">
      <c r="A16" s="5" t="n">
        <v>12</v>
      </c>
      <c r="B16" s="5" t="s">
        <v>77</v>
      </c>
      <c r="C16" s="6" t="s">
        <v>78</v>
      </c>
      <c r="D16" s="5" t="s">
        <v>79</v>
      </c>
      <c r="E16" s="5" t="s">
        <v>80</v>
      </c>
      <c r="F16" s="7" t="n">
        <v>46313</v>
      </c>
      <c r="G16" s="8" t="s">
        <v>47</v>
      </c>
      <c r="H16" s="8" t="s">
        <v>19</v>
      </c>
      <c r="I16" s="8" t="s">
        <v>20</v>
      </c>
      <c r="J16" s="9" t="str">
        <f aca="false">IF(I16="Opened and confirmed","Done",IF(I16="Rejected","Do not cite",IF(I16="Date to confirm","Check page date","Open link and confirm")))</f>
        <v>Done</v>
      </c>
      <c r="K16" s="10" t="s">
        <v>81</v>
      </c>
      <c r="L16" s="10" t="s">
        <v>82</v>
      </c>
    </row>
    <row r="17" customFormat="false" ht="15" hidden="false" customHeight="true" outlineLevel="0" collapsed="false">
      <c r="A17" s="5" t="n">
        <v>13</v>
      </c>
      <c r="B17" s="5" t="s">
        <v>83</v>
      </c>
      <c r="C17" s="6" t="s">
        <v>84</v>
      </c>
      <c r="D17" s="5" t="s">
        <v>25</v>
      </c>
      <c r="E17" s="5" t="s">
        <v>85</v>
      </c>
      <c r="F17" s="7" t="n">
        <v>46313</v>
      </c>
      <c r="G17" s="8" t="s">
        <v>27</v>
      </c>
      <c r="H17" s="8" t="s">
        <v>19</v>
      </c>
      <c r="I17" s="8" t="s">
        <v>20</v>
      </c>
      <c r="J17" s="9" t="str">
        <f aca="false">IF(I17="Opened and confirmed","Done",IF(I17="Rejected","Do not cite",IF(I17="Date to confirm","Check page date","Open link and confirm")))</f>
        <v>Done</v>
      </c>
      <c r="K17" s="10" t="s">
        <v>21</v>
      </c>
      <c r="L17" s="10" t="s">
        <v>86</v>
      </c>
    </row>
    <row r="18" customFormat="false" ht="23.25" hidden="false" customHeight="true" outlineLevel="0" collapsed="false">
      <c r="A18" s="5" t="n">
        <v>14</v>
      </c>
      <c r="B18" s="5" t="s">
        <v>87</v>
      </c>
      <c r="C18" s="6" t="s">
        <v>88</v>
      </c>
      <c r="D18" s="5" t="s">
        <v>63</v>
      </c>
      <c r="E18" s="5" t="s">
        <v>89</v>
      </c>
      <c r="F18" s="7" t="n">
        <v>46313</v>
      </c>
      <c r="G18" s="8" t="s">
        <v>18</v>
      </c>
      <c r="H18" s="8" t="s">
        <v>19</v>
      </c>
      <c r="I18" s="8" t="s">
        <v>20</v>
      </c>
      <c r="J18" s="9" t="str">
        <f aca="false">IF(I18="Opened and confirmed","Done",IF(I18="Rejected","Do not cite",IF(I18="Date to confirm","Check page date","Open link and confirm")))</f>
        <v>Done</v>
      </c>
      <c r="K18" s="10"/>
      <c r="L18" s="10"/>
    </row>
    <row r="19" customFormat="false" ht="23.25" hidden="false" customHeight="true" outlineLevel="0" collapsed="false">
      <c r="A19" s="5" t="n">
        <v>15</v>
      </c>
      <c r="B19" s="5" t="s">
        <v>90</v>
      </c>
      <c r="C19" s="6" t="s">
        <v>91</v>
      </c>
      <c r="D19" s="5" t="s">
        <v>92</v>
      </c>
      <c r="E19" s="5" t="s">
        <v>93</v>
      </c>
      <c r="F19" s="7" t="n">
        <v>46313</v>
      </c>
      <c r="G19" s="8" t="s">
        <v>94</v>
      </c>
      <c r="H19" s="8" t="s">
        <v>19</v>
      </c>
      <c r="I19" s="8" t="s">
        <v>20</v>
      </c>
      <c r="J19" s="9" t="str">
        <f aca="false">IF(I19="Opened and confirmed","Done",IF(I19="Rejected","Do not cite",IF(I19="Date to confirm","Check page date","Open link and confirm")))</f>
        <v>Done</v>
      </c>
      <c r="K19" s="10" t="s">
        <v>21</v>
      </c>
      <c r="L19" s="10" t="s">
        <v>95</v>
      </c>
    </row>
    <row r="20" customFormat="false" ht="23.25" hidden="false" customHeight="true" outlineLevel="0" collapsed="false">
      <c r="A20" s="5" t="n">
        <v>16</v>
      </c>
      <c r="B20" s="5" t="s">
        <v>96</v>
      </c>
      <c r="C20" s="6" t="s">
        <v>97</v>
      </c>
      <c r="D20" s="5" t="s">
        <v>63</v>
      </c>
      <c r="E20" s="5" t="s">
        <v>98</v>
      </c>
      <c r="F20" s="7" t="n">
        <v>46313</v>
      </c>
      <c r="G20" s="8" t="s">
        <v>18</v>
      </c>
      <c r="H20" s="8" t="s">
        <v>19</v>
      </c>
      <c r="I20" s="8" t="s">
        <v>40</v>
      </c>
      <c r="J20" s="9" t="str">
        <f aca="false">IF(I20="Opened and confirmed","Done",IF(I20="Rejected","Do not cite",IF(I20="Date to confirm","Check page date","Open link and confirm")))</f>
        <v>Open link and confirm</v>
      </c>
      <c r="K20" s="10" t="s">
        <v>99</v>
      </c>
      <c r="L20" s="10" t="s">
        <v>100</v>
      </c>
    </row>
    <row r="21" customFormat="false" ht="23.25" hidden="false" customHeight="true" outlineLevel="0" collapsed="false">
      <c r="A21" s="5" t="n">
        <v>17</v>
      </c>
      <c r="B21" s="5" t="s">
        <v>101</v>
      </c>
      <c r="C21" s="6" t="s">
        <v>102</v>
      </c>
      <c r="D21" s="5" t="s">
        <v>63</v>
      </c>
      <c r="E21" s="5" t="s">
        <v>103</v>
      </c>
      <c r="F21" s="7" t="n">
        <v>46313</v>
      </c>
      <c r="G21" s="8" t="s">
        <v>18</v>
      </c>
      <c r="H21" s="8" t="s">
        <v>19</v>
      </c>
      <c r="I21" s="8" t="s">
        <v>20</v>
      </c>
      <c r="J21" s="9" t="str">
        <f aca="false">IF(I21="Opened and confirmed","Done",IF(I21="Rejected","Do not cite",IF(I21="Date to confirm","Check page date","Open link and confirm")))</f>
        <v>Done</v>
      </c>
      <c r="K21" s="10"/>
      <c r="L21" s="10"/>
    </row>
    <row r="22" customFormat="false" ht="15" hidden="false" customHeight="true" outlineLevel="0" collapsed="false">
      <c r="A22" s="5" t="n">
        <v>18</v>
      </c>
      <c r="B22" s="5" t="s">
        <v>104</v>
      </c>
      <c r="C22" s="6" t="s">
        <v>105</v>
      </c>
      <c r="D22" s="5" t="s">
        <v>106</v>
      </c>
      <c r="E22" s="5" t="s">
        <v>107</v>
      </c>
      <c r="F22" s="7" t="n">
        <v>46313</v>
      </c>
      <c r="G22" s="8" t="s">
        <v>47</v>
      </c>
      <c r="H22" s="8" t="s">
        <v>19</v>
      </c>
      <c r="I22" s="8" t="s">
        <v>20</v>
      </c>
      <c r="J22" s="9" t="str">
        <f aca="false">IF(I22="Opened and confirmed","Done",IF(I22="Rejected","Do not cite",IF(I22="Date to confirm","Check page date","Open link and confirm")))</f>
        <v>Done</v>
      </c>
      <c r="K22" s="10" t="s">
        <v>21</v>
      </c>
      <c r="L22" s="10" t="s">
        <v>108</v>
      </c>
    </row>
    <row r="23" customFormat="false" ht="15" hidden="false" customHeight="true" outlineLevel="0" collapsed="false">
      <c r="A23" s="5" t="n">
        <v>19</v>
      </c>
      <c r="B23" s="5" t="s">
        <v>109</v>
      </c>
      <c r="C23" s="6" t="s">
        <v>110</v>
      </c>
      <c r="D23" s="5" t="s">
        <v>57</v>
      </c>
      <c r="E23" s="5" t="s">
        <v>111</v>
      </c>
      <c r="F23" s="7" t="n">
        <v>46313</v>
      </c>
      <c r="G23" s="8" t="s">
        <v>47</v>
      </c>
      <c r="H23" s="8" t="s">
        <v>112</v>
      </c>
      <c r="I23" s="8" t="s">
        <v>113</v>
      </c>
      <c r="J23" s="9" t="str">
        <f aca="false">IF(I23="Opened and confirmed","Done",IF(I23="Rejected","Do not cite",IF(I23="Date to confirm","Check page date","Open link and confirm")))</f>
        <v>Do not cite</v>
      </c>
      <c r="K23" s="10" t="s">
        <v>114</v>
      </c>
      <c r="L23" s="10" t="s">
        <v>115</v>
      </c>
    </row>
    <row r="24" customFormat="false" ht="15" hidden="false" customHeight="true" outlineLevel="0" collapsed="false">
      <c r="A24" s="5" t="n">
        <v>20</v>
      </c>
      <c r="B24" s="5" t="s">
        <v>116</v>
      </c>
      <c r="C24" s="6" t="s">
        <v>117</v>
      </c>
      <c r="D24" s="5" t="s">
        <v>57</v>
      </c>
      <c r="E24" s="5" t="s">
        <v>118</v>
      </c>
      <c r="F24" s="7" t="n">
        <v>46313</v>
      </c>
      <c r="G24" s="8" t="s">
        <v>47</v>
      </c>
      <c r="H24" s="8" t="s">
        <v>19</v>
      </c>
      <c r="I24" s="8" t="s">
        <v>20</v>
      </c>
      <c r="J24" s="9" t="str">
        <f aca="false">IF(I24="Opened and confirmed","Done",IF(I24="Rejected","Do not cite",IF(I24="Date to confirm","Check page date","Open link and confirm")))</f>
        <v>Done</v>
      </c>
      <c r="K24" s="10" t="s">
        <v>21</v>
      </c>
      <c r="L24" s="10" t="s">
        <v>119</v>
      </c>
    </row>
    <row r="25" customFormat="false" ht="15" hidden="false" customHeight="true" outlineLevel="0" collapsed="false">
      <c r="A25" s="5" t="n">
        <v>21</v>
      </c>
      <c r="B25" s="5" t="s">
        <v>120</v>
      </c>
      <c r="C25" s="6" t="s">
        <v>121</v>
      </c>
      <c r="D25" s="5" t="s">
        <v>122</v>
      </c>
      <c r="E25" s="5" t="s">
        <v>123</v>
      </c>
      <c r="F25" s="7" t="n">
        <v>46313</v>
      </c>
      <c r="G25" s="8" t="s">
        <v>18</v>
      </c>
      <c r="H25" s="8" t="s">
        <v>19</v>
      </c>
      <c r="I25" s="8" t="s">
        <v>20</v>
      </c>
      <c r="J25" s="9" t="str">
        <f aca="false">IF(I25="Opened and confirmed","Done",IF(I25="Rejected","Do not cite",IF(I25="Date to confirm","Check page date","Open link and confirm")))</f>
        <v>Done</v>
      </c>
      <c r="K25" s="10" t="s">
        <v>21</v>
      </c>
      <c r="L25" s="10" t="s">
        <v>124</v>
      </c>
    </row>
    <row r="26" customFormat="false" ht="23.25" hidden="false" customHeight="true" outlineLevel="0" collapsed="false">
      <c r="A26" s="5" t="n">
        <v>22</v>
      </c>
      <c r="B26" s="5" t="s">
        <v>125</v>
      </c>
      <c r="C26" s="6" t="s">
        <v>126</v>
      </c>
      <c r="D26" s="5" t="s">
        <v>106</v>
      </c>
      <c r="E26" s="5" t="s">
        <v>127</v>
      </c>
      <c r="F26" s="7" t="n">
        <v>46313</v>
      </c>
      <c r="G26" s="8" t="s">
        <v>47</v>
      </c>
      <c r="H26" s="8" t="s">
        <v>19</v>
      </c>
      <c r="I26" s="8" t="s">
        <v>20</v>
      </c>
      <c r="J26" s="9" t="str">
        <f aca="false">IF(I26="Opened and confirmed","Done",IF(I26="Rejected","Do not cite",IF(I26="Date to confirm","Check page date","Open link and confirm")))</f>
        <v>Done</v>
      </c>
      <c r="K26" s="10" t="s">
        <v>81</v>
      </c>
      <c r="L26" s="10" t="s">
        <v>128</v>
      </c>
    </row>
    <row r="27" customFormat="false" ht="23.25" hidden="false" customHeight="true" outlineLevel="0" collapsed="false">
      <c r="A27" s="5" t="n">
        <v>23</v>
      </c>
      <c r="B27" s="5" t="s">
        <v>129</v>
      </c>
      <c r="C27" s="6" t="s">
        <v>130</v>
      </c>
      <c r="D27" s="5" t="s">
        <v>45</v>
      </c>
      <c r="E27" s="5" t="s">
        <v>131</v>
      </c>
      <c r="F27" s="7" t="n">
        <v>46313</v>
      </c>
      <c r="G27" s="8" t="s">
        <v>47</v>
      </c>
      <c r="H27" s="8" t="s">
        <v>19</v>
      </c>
      <c r="I27" s="8" t="s">
        <v>40</v>
      </c>
      <c r="J27" s="9" t="str">
        <f aca="false">IF(I27="Opened and confirmed","Done",IF(I27="Rejected","Do not cite",IF(I27="Date to confirm","Check page date","Open link and confirm")))</f>
        <v>Open link and confirm</v>
      </c>
      <c r="K27" s="10" t="s">
        <v>99</v>
      </c>
      <c r="L27" s="10" t="s">
        <v>132</v>
      </c>
    </row>
    <row r="28" customFormat="false" ht="15" hidden="false" customHeight="true" outlineLevel="0" collapsed="false">
      <c r="A28" s="5" t="n">
        <v>24</v>
      </c>
      <c r="B28" s="5" t="s">
        <v>133</v>
      </c>
      <c r="C28" s="6" t="s">
        <v>134</v>
      </c>
      <c r="D28" s="5" t="s">
        <v>57</v>
      </c>
      <c r="E28" s="5" t="s">
        <v>135</v>
      </c>
      <c r="F28" s="7" t="n">
        <v>46313</v>
      </c>
      <c r="G28" s="8" t="s">
        <v>47</v>
      </c>
      <c r="H28" s="8" t="s">
        <v>19</v>
      </c>
      <c r="I28" s="8" t="s">
        <v>20</v>
      </c>
      <c r="J28" s="9" t="str">
        <f aca="false">IF(I28="Opened and confirmed","Done",IF(I28="Rejected","Do not cite",IF(I28="Date to confirm","Check page date","Open link and confirm")))</f>
        <v>Done</v>
      </c>
      <c r="K28" s="10" t="s">
        <v>21</v>
      </c>
      <c r="L28" s="10" t="s">
        <v>136</v>
      </c>
    </row>
    <row r="29" customFormat="false" ht="23.25" hidden="false" customHeight="true" outlineLevel="0" collapsed="false">
      <c r="A29" s="5" t="n">
        <v>25</v>
      </c>
      <c r="B29" s="5" t="s">
        <v>137</v>
      </c>
      <c r="C29" s="6" t="s">
        <v>138</v>
      </c>
      <c r="D29" s="5" t="s">
        <v>63</v>
      </c>
      <c r="E29" s="5" t="s">
        <v>139</v>
      </c>
      <c r="F29" s="7" t="n">
        <v>46313</v>
      </c>
      <c r="G29" s="8" t="s">
        <v>140</v>
      </c>
      <c r="H29" s="8" t="s">
        <v>19</v>
      </c>
      <c r="I29" s="8" t="s">
        <v>20</v>
      </c>
      <c r="J29" s="9" t="str">
        <f aca="false">IF(I29="Opened and confirmed","Done",IF(I29="Rejected","Do not cite",IF(I29="Date to confirm","Check page date","Open link and confirm")))</f>
        <v>Done</v>
      </c>
      <c r="K29" s="10" t="s">
        <v>81</v>
      </c>
      <c r="L29" s="10" t="s">
        <v>141</v>
      </c>
    </row>
    <row r="30" customFormat="false" ht="23.25" hidden="false" customHeight="true" outlineLevel="0" collapsed="false">
      <c r="A30" s="5" t="n">
        <v>26</v>
      </c>
      <c r="B30" s="5" t="s">
        <v>142</v>
      </c>
      <c r="C30" s="6" t="s">
        <v>143</v>
      </c>
      <c r="D30" s="5" t="s">
        <v>144</v>
      </c>
      <c r="E30" s="5" t="s">
        <v>145</v>
      </c>
      <c r="F30" s="7" t="n">
        <v>46313</v>
      </c>
      <c r="G30" s="8" t="s">
        <v>47</v>
      </c>
      <c r="H30" s="8" t="s">
        <v>19</v>
      </c>
      <c r="I30" s="8" t="s">
        <v>20</v>
      </c>
      <c r="J30" s="9" t="str">
        <f aca="false">IF(I30="Opened and confirmed","Done",IF(I30="Rejected","Do not cite",IF(I30="Date to confirm","Check page date","Open link and confirm")))</f>
        <v>Done</v>
      </c>
      <c r="K30" s="10" t="s">
        <v>21</v>
      </c>
      <c r="L30" s="10" t="s">
        <v>146</v>
      </c>
    </row>
    <row r="31" customFormat="false" ht="15" hidden="false" customHeight="true" outlineLevel="0" collapsed="false">
      <c r="A31" s="5" t="n">
        <v>27</v>
      </c>
      <c r="B31" s="5" t="s">
        <v>147</v>
      </c>
      <c r="C31" s="6" t="s">
        <v>148</v>
      </c>
      <c r="D31" s="5" t="s">
        <v>149</v>
      </c>
      <c r="E31" s="5" t="s">
        <v>150</v>
      </c>
      <c r="F31" s="7" t="n">
        <v>46313</v>
      </c>
      <c r="G31" s="8" t="s">
        <v>47</v>
      </c>
      <c r="H31" s="8" t="s">
        <v>19</v>
      </c>
      <c r="I31" s="8" t="s">
        <v>20</v>
      </c>
      <c r="J31" s="9" t="str">
        <f aca="false">IF(I31="Opened and confirmed","Done",IF(I31="Rejected","Do not cite",IF(I31="Date to confirm","Check page date","Open link and confirm")))</f>
        <v>Done</v>
      </c>
      <c r="K31" s="10" t="s">
        <v>21</v>
      </c>
      <c r="L31" s="10" t="s">
        <v>151</v>
      </c>
    </row>
    <row r="32" customFormat="false" ht="23.25" hidden="false" customHeight="true" outlineLevel="0" collapsed="false">
      <c r="A32" s="5" t="n">
        <v>28</v>
      </c>
      <c r="B32" s="5" t="s">
        <v>152</v>
      </c>
      <c r="C32" s="6" t="s">
        <v>153</v>
      </c>
      <c r="D32" s="5" t="s">
        <v>63</v>
      </c>
      <c r="E32" s="5" t="s">
        <v>154</v>
      </c>
      <c r="F32" s="7" t="n">
        <v>46314</v>
      </c>
      <c r="G32" s="8" t="s">
        <v>18</v>
      </c>
      <c r="H32" s="8" t="s">
        <v>19</v>
      </c>
      <c r="I32" s="8" t="s">
        <v>20</v>
      </c>
      <c r="J32" s="9" t="str">
        <f aca="false">IF(I32="Opened and confirmed","Done",IF(I32="Rejected","Do not cite",IF(I32="Date to confirm","Check page date","Open link and confirm")))</f>
        <v>Done</v>
      </c>
      <c r="K32" s="10" t="s">
        <v>155</v>
      </c>
      <c r="L32" s="10" t="s">
        <v>156</v>
      </c>
    </row>
    <row r="33" customFormat="false" ht="23.25" hidden="false" customHeight="true" outlineLevel="0" collapsed="false">
      <c r="A33" s="5" t="n">
        <v>29</v>
      </c>
      <c r="B33" s="5" t="s">
        <v>157</v>
      </c>
      <c r="C33" s="6" t="s">
        <v>158</v>
      </c>
      <c r="D33" s="5" t="s">
        <v>106</v>
      </c>
      <c r="E33" s="5" t="s">
        <v>159</v>
      </c>
      <c r="F33" s="7" t="n">
        <v>46314</v>
      </c>
      <c r="G33" s="8" t="s">
        <v>47</v>
      </c>
      <c r="H33" s="8" t="s">
        <v>19</v>
      </c>
      <c r="I33" s="8" t="s">
        <v>20</v>
      </c>
      <c r="J33" s="9" t="str">
        <f aca="false">IF(I33="Opened and confirmed","Done",IF(I33="Rejected","Do not cite",IF(I33="Date to confirm","Check page date","Open link and confirm")))</f>
        <v>Done</v>
      </c>
      <c r="K33" s="10" t="s">
        <v>21</v>
      </c>
      <c r="L33" s="10" t="s">
        <v>160</v>
      </c>
    </row>
    <row r="34" customFormat="false" ht="23.25" hidden="false" customHeight="true" outlineLevel="0" collapsed="false">
      <c r="A34" s="5" t="n">
        <v>30</v>
      </c>
      <c r="B34" s="5" t="s">
        <v>161</v>
      </c>
      <c r="C34" s="6" t="s">
        <v>162</v>
      </c>
      <c r="D34" s="5" t="s">
        <v>163</v>
      </c>
      <c r="E34" s="5" t="s">
        <v>164</v>
      </c>
      <c r="F34" s="7" t="n">
        <v>46314</v>
      </c>
      <c r="G34" s="8" t="s">
        <v>94</v>
      </c>
      <c r="H34" s="8" t="s">
        <v>19</v>
      </c>
      <c r="I34" s="8" t="s">
        <v>20</v>
      </c>
      <c r="J34" s="9" t="str">
        <f aca="false">IF(I34="Opened and confirmed","Done",IF(I34="Rejected","Do not cite",IF(I34="Date to confirm","Check page date","Open link and confirm")))</f>
        <v>Done</v>
      </c>
      <c r="K34" s="10" t="s">
        <v>21</v>
      </c>
      <c r="L34" s="10" t="s">
        <v>165</v>
      </c>
    </row>
    <row r="35" customFormat="false" ht="15" hidden="false" customHeight="true" outlineLevel="0" collapsed="false">
      <c r="A35" s="5" t="n">
        <v>31</v>
      </c>
      <c r="B35" s="5" t="s">
        <v>166</v>
      </c>
      <c r="C35" s="6" t="s">
        <v>167</v>
      </c>
      <c r="D35" s="5" t="s">
        <v>106</v>
      </c>
      <c r="E35" s="5" t="s">
        <v>168</v>
      </c>
      <c r="F35" s="7" t="n">
        <v>46314</v>
      </c>
      <c r="G35" s="8" t="s">
        <v>47</v>
      </c>
      <c r="H35" s="8" t="s">
        <v>19</v>
      </c>
      <c r="I35" s="8" t="s">
        <v>20</v>
      </c>
      <c r="J35" s="9" t="str">
        <f aca="false">IF(I35="Opened and confirmed","Done",IF(I35="Rejected","Do not cite",IF(I35="Date to confirm","Check page date","Open link and confirm")))</f>
        <v>Done</v>
      </c>
      <c r="K35" s="10" t="s">
        <v>169</v>
      </c>
      <c r="L35" s="10" t="s">
        <v>170</v>
      </c>
    </row>
    <row r="36" customFormat="false" ht="15" hidden="false" customHeight="true" outlineLevel="0" collapsed="false">
      <c r="A36" s="5" t="n">
        <v>32</v>
      </c>
      <c r="B36" s="5" t="s">
        <v>171</v>
      </c>
      <c r="C36" s="6" t="s">
        <v>172</v>
      </c>
      <c r="D36" s="5" t="s">
        <v>57</v>
      </c>
      <c r="E36" s="5" t="s">
        <v>173</v>
      </c>
      <c r="F36" s="7" t="n">
        <v>46314</v>
      </c>
      <c r="G36" s="8" t="s">
        <v>47</v>
      </c>
      <c r="H36" s="8" t="s">
        <v>19</v>
      </c>
      <c r="I36" s="8" t="s">
        <v>20</v>
      </c>
      <c r="J36" s="9" t="str">
        <f aca="false">IF(I36="Opened and confirmed","Done",IF(I36="Rejected","Do not cite",IF(I36="Date to confirm","Check page date","Open link and confirm")))</f>
        <v>Done</v>
      </c>
      <c r="K36" s="10" t="s">
        <v>81</v>
      </c>
      <c r="L36" s="10" t="s">
        <v>174</v>
      </c>
    </row>
    <row r="37" customFormat="false" ht="23.25" hidden="false" customHeight="true" outlineLevel="0" collapsed="false">
      <c r="A37" s="5" t="n">
        <v>33</v>
      </c>
      <c r="B37" s="5" t="s">
        <v>175</v>
      </c>
      <c r="C37" s="6" t="s">
        <v>176</v>
      </c>
      <c r="D37" s="5" t="s">
        <v>177</v>
      </c>
      <c r="E37" s="5" t="s">
        <v>178</v>
      </c>
      <c r="F37" s="7" t="n">
        <v>46314</v>
      </c>
      <c r="G37" s="8" t="s">
        <v>47</v>
      </c>
      <c r="H37" s="8" t="s">
        <v>19</v>
      </c>
      <c r="I37" s="8" t="s">
        <v>20</v>
      </c>
      <c r="J37" s="9" t="str">
        <f aca="false">IF(I37="Opened and confirmed","Done",IF(I37="Rejected","Do not cite",IF(I37="Date to confirm","Check page date","Open link and confirm")))</f>
        <v>Done</v>
      </c>
      <c r="K37" s="10" t="s">
        <v>81</v>
      </c>
      <c r="L37" s="10" t="s">
        <v>179</v>
      </c>
    </row>
    <row r="38" customFormat="false" ht="23.25" hidden="false" customHeight="true" outlineLevel="0" collapsed="false">
      <c r="A38" s="5" t="n">
        <v>34</v>
      </c>
      <c r="B38" s="5" t="s">
        <v>180</v>
      </c>
      <c r="C38" s="6" t="s">
        <v>181</v>
      </c>
      <c r="D38" s="5" t="s">
        <v>57</v>
      </c>
      <c r="E38" s="5" t="s">
        <v>182</v>
      </c>
      <c r="F38" s="7" t="n">
        <v>46314</v>
      </c>
      <c r="G38" s="8" t="s">
        <v>47</v>
      </c>
      <c r="H38" s="8" t="s">
        <v>19</v>
      </c>
      <c r="I38" s="8" t="s">
        <v>20</v>
      </c>
      <c r="J38" s="9" t="str">
        <f aca="false">IF(I38="Opened and confirmed","Done",IF(I38="Rejected","Do not cite",IF(I38="Date to confirm","Check page date","Open link and confirm")))</f>
        <v>Done</v>
      </c>
      <c r="K38" s="10" t="s">
        <v>21</v>
      </c>
      <c r="L38" s="10" t="s">
        <v>183</v>
      </c>
    </row>
    <row r="39" customFormat="false" ht="15" hidden="false" customHeight="true" outlineLevel="0" collapsed="false">
      <c r="A39" s="5" t="s">
        <v>184</v>
      </c>
      <c r="B39" s="5" t="s">
        <v>185</v>
      </c>
      <c r="C39" s="6" t="s">
        <v>186</v>
      </c>
      <c r="D39" s="5" t="s">
        <v>187</v>
      </c>
      <c r="E39" s="5" t="s">
        <v>188</v>
      </c>
      <c r="F39" s="7" t="n">
        <v>46313</v>
      </c>
      <c r="G39" s="8" t="s">
        <v>189</v>
      </c>
      <c r="H39" s="8" t="s">
        <v>112</v>
      </c>
      <c r="I39" s="8" t="s">
        <v>113</v>
      </c>
      <c r="J39" s="9" t="str">
        <f aca="false">IF(I39="Opened and confirmed","Done",IF(I39="Rejected","Do not cite",IF(I39="Date to confirm","Check page date","Open link and confirm")))</f>
        <v>Do not cite</v>
      </c>
      <c r="K39" s="10"/>
      <c r="L39" s="10"/>
    </row>
    <row r="40" customFormat="false" ht="23.25" hidden="false" customHeight="true" outlineLevel="0" collapsed="false">
      <c r="A40" s="5" t="s">
        <v>190</v>
      </c>
      <c r="B40" s="5" t="s">
        <v>191</v>
      </c>
      <c r="C40" s="6" t="s">
        <v>192</v>
      </c>
      <c r="D40" s="5" t="s">
        <v>193</v>
      </c>
      <c r="E40" s="5" t="s">
        <v>194</v>
      </c>
      <c r="F40" s="7" t="n">
        <v>46313</v>
      </c>
      <c r="G40" s="8" t="s">
        <v>195</v>
      </c>
      <c r="H40" s="8" t="s">
        <v>112</v>
      </c>
      <c r="I40" s="8" t="s">
        <v>113</v>
      </c>
      <c r="J40" s="9" t="str">
        <f aca="false">IF(I40="Opened and confirmed","Done",IF(I40="Rejected","Do not cite",IF(I40="Date to confirm","Check page date","Open link and confirm")))</f>
        <v>Do not cite</v>
      </c>
      <c r="K40" s="10"/>
      <c r="L40" s="10"/>
    </row>
    <row r="41" customFormat="false" ht="15" hidden="false" customHeight="true" outlineLevel="0" collapsed="false">
      <c r="A41" s="5" t="s">
        <v>196</v>
      </c>
      <c r="B41" s="5" t="s">
        <v>197</v>
      </c>
      <c r="C41" s="6" t="s">
        <v>198</v>
      </c>
      <c r="D41" s="5" t="s">
        <v>199</v>
      </c>
      <c r="E41" s="5" t="s">
        <v>200</v>
      </c>
      <c r="F41" s="7" t="n">
        <v>46313</v>
      </c>
      <c r="G41" s="8" t="s">
        <v>201</v>
      </c>
      <c r="H41" s="8" t="s">
        <v>112</v>
      </c>
      <c r="I41" s="8" t="s">
        <v>113</v>
      </c>
      <c r="J41" s="9" t="str">
        <f aca="false">IF(I41="Opened and confirmed","Done",IF(I41="Rejected","Do not cite",IF(I41="Date to confirm","Check page date","Open link and confirm")))</f>
        <v>Do not cite</v>
      </c>
      <c r="K41" s="10"/>
      <c r="L41" s="10"/>
    </row>
    <row r="42" customFormat="false" ht="23.25" hidden="false" customHeight="true" outlineLevel="0" collapsed="false">
      <c r="A42" s="5" t="s">
        <v>202</v>
      </c>
      <c r="B42" s="5" t="s">
        <v>203</v>
      </c>
      <c r="C42" s="6" t="s">
        <v>204</v>
      </c>
      <c r="D42" s="5" t="s">
        <v>205</v>
      </c>
      <c r="E42" s="5" t="s">
        <v>206</v>
      </c>
      <c r="F42" s="7" t="n">
        <v>46313</v>
      </c>
      <c r="G42" s="8" t="s">
        <v>207</v>
      </c>
      <c r="H42" s="8" t="s">
        <v>112</v>
      </c>
      <c r="I42" s="8" t="s">
        <v>113</v>
      </c>
      <c r="J42" s="9" t="str">
        <f aca="false">IF(I42="Opened and confirmed","Done",IF(I42="Rejected","Do not cite",IF(I42="Date to confirm","Check page date","Open link and confirm")))</f>
        <v>Do not cite</v>
      </c>
      <c r="K42" s="10"/>
      <c r="L42" s="10"/>
    </row>
    <row r="43" customFormat="false" ht="23.25" hidden="false" customHeight="true" outlineLevel="0" collapsed="false">
      <c r="A43" s="5" t="s">
        <v>208</v>
      </c>
      <c r="B43" s="5" t="s">
        <v>209</v>
      </c>
      <c r="C43" s="6" t="s">
        <v>210</v>
      </c>
      <c r="D43" s="5" t="s">
        <v>211</v>
      </c>
      <c r="E43" s="5" t="s">
        <v>212</v>
      </c>
      <c r="F43" s="7" t="n">
        <v>46313</v>
      </c>
      <c r="G43" s="8" t="s">
        <v>213</v>
      </c>
      <c r="H43" s="8" t="s">
        <v>112</v>
      </c>
      <c r="I43" s="8" t="s">
        <v>113</v>
      </c>
      <c r="J43" s="9" t="str">
        <f aca="false">IF(I43="Opened and confirmed","Done",IF(I43="Rejected","Do not cite",IF(I43="Date to confirm","Check page date","Open link and confirm")))</f>
        <v>Do not cite</v>
      </c>
      <c r="K43" s="10"/>
      <c r="L43" s="10"/>
    </row>
    <row r="44" customFormat="false" ht="15" hidden="false" customHeight="true" outlineLevel="0" collapsed="false">
      <c r="A44" s="5" t="s">
        <v>214</v>
      </c>
      <c r="B44" s="5" t="s">
        <v>215</v>
      </c>
      <c r="C44" s="6" t="s">
        <v>216</v>
      </c>
      <c r="D44" s="5" t="s">
        <v>217</v>
      </c>
      <c r="E44" s="5" t="s">
        <v>218</v>
      </c>
      <c r="F44" s="7" t="n">
        <v>46313</v>
      </c>
      <c r="G44" s="8" t="s">
        <v>219</v>
      </c>
      <c r="H44" s="8" t="s">
        <v>112</v>
      </c>
      <c r="I44" s="8" t="s">
        <v>113</v>
      </c>
      <c r="J44" s="9" t="str">
        <f aca="false">IF(I44="Opened and confirmed","Done",IF(I44="Rejected","Do not cite",IF(I44="Date to confirm","Check page date","Open link and confirm")))</f>
        <v>Do not cite</v>
      </c>
      <c r="K44" s="10"/>
      <c r="L44" s="10"/>
    </row>
    <row r="45" customFormat="false" ht="23.25" hidden="false" customHeight="true" outlineLevel="0" collapsed="false">
      <c r="A45" s="5" t="s">
        <v>220</v>
      </c>
      <c r="B45" s="5" t="s">
        <v>221</v>
      </c>
      <c r="C45" s="5" t="s">
        <v>222</v>
      </c>
      <c r="D45" s="5" t="s">
        <v>223</v>
      </c>
      <c r="E45" s="5" t="s">
        <v>224</v>
      </c>
      <c r="F45" s="7" t="n">
        <v>46313</v>
      </c>
      <c r="G45" s="8" t="s">
        <v>225</v>
      </c>
      <c r="H45" s="8" t="s">
        <v>112</v>
      </c>
      <c r="I45" s="8" t="s">
        <v>113</v>
      </c>
      <c r="J45" s="9" t="str">
        <f aca="false">IF(I45="Opened and confirmed","Done",IF(I45="Rejected","Do not cite",IF(I45="Date to confirm","Check page date","Open link and confirm")))</f>
        <v>Do not cite</v>
      </c>
      <c r="K45" s="10"/>
      <c r="L45" s="10"/>
    </row>
    <row r="46" customFormat="false" ht="23.25" hidden="false" customHeight="true" outlineLevel="0" collapsed="false">
      <c r="A46" s="5" t="s">
        <v>226</v>
      </c>
      <c r="B46" s="5" t="s">
        <v>227</v>
      </c>
      <c r="C46" s="6" t="s">
        <v>228</v>
      </c>
      <c r="D46" s="5" t="s">
        <v>229</v>
      </c>
      <c r="E46" s="5" t="s">
        <v>230</v>
      </c>
      <c r="F46" s="7" t="n">
        <v>46313</v>
      </c>
      <c r="G46" s="8" t="s">
        <v>231</v>
      </c>
      <c r="H46" s="8" t="s">
        <v>112</v>
      </c>
      <c r="I46" s="8" t="s">
        <v>113</v>
      </c>
      <c r="J46" s="9" t="str">
        <f aca="false">IF(I46="Opened and confirmed","Done",IF(I46="Rejected","Do not cite",IF(I46="Date to confirm","Check page date","Open link and confirm")))</f>
        <v>Do not cite</v>
      </c>
      <c r="K46" s="10"/>
      <c r="L46" s="10"/>
    </row>
    <row r="47" customFormat="false" ht="23.25" hidden="false" customHeight="true" outlineLevel="0" collapsed="false">
      <c r="A47" s="5" t="n">
        <v>35</v>
      </c>
      <c r="B47" s="5" t="s">
        <v>232</v>
      </c>
      <c r="C47" s="6" t="s">
        <v>233</v>
      </c>
      <c r="D47" s="5" t="s">
        <v>63</v>
      </c>
      <c r="E47" s="5" t="s">
        <v>234</v>
      </c>
      <c r="F47" s="7" t="n">
        <v>46320</v>
      </c>
      <c r="G47" s="8" t="s">
        <v>18</v>
      </c>
      <c r="H47" s="8" t="s">
        <v>19</v>
      </c>
      <c r="I47" s="8" t="s">
        <v>20</v>
      </c>
      <c r="J47" s="9" t="str">
        <f aca="false">IF(I47="Opened and confirmed","Done",IF(I47="Rejected","Do not cite",IF(I47="Date to confirm","Check page date","Open link and confirm")))</f>
        <v>Done</v>
      </c>
      <c r="K47" s="10" t="s">
        <v>235</v>
      </c>
      <c r="L47" s="10" t="s">
        <v>236</v>
      </c>
    </row>
    <row r="48" customFormat="false" ht="23.25" hidden="false" customHeight="true" outlineLevel="0" collapsed="false">
      <c r="A48" s="5" t="n">
        <v>36</v>
      </c>
      <c r="B48" s="5" t="s">
        <v>237</v>
      </c>
      <c r="C48" s="6" t="s">
        <v>238</v>
      </c>
      <c r="D48" s="5" t="s">
        <v>63</v>
      </c>
      <c r="E48" s="5" t="s">
        <v>239</v>
      </c>
      <c r="F48" s="7" t="n">
        <v>46320</v>
      </c>
      <c r="G48" s="8" t="s">
        <v>18</v>
      </c>
      <c r="H48" s="8" t="s">
        <v>19</v>
      </c>
      <c r="I48" s="8" t="s">
        <v>20</v>
      </c>
      <c r="J48" s="9" t="str">
        <f aca="false">IF(I48="Opened and confirmed","Done",IF(I48="Rejected","Do not cite",IF(I48="Date to confirm","Check page date","Open link and confirm")))</f>
        <v>Done</v>
      </c>
      <c r="K48" s="10" t="s">
        <v>235</v>
      </c>
      <c r="L48" s="10" t="s">
        <v>240</v>
      </c>
    </row>
    <row r="49" customFormat="false" ht="23.25" hidden="false" customHeight="true" outlineLevel="0" collapsed="false">
      <c r="A49" s="5" t="n">
        <v>37</v>
      </c>
      <c r="B49" s="5" t="s">
        <v>241</v>
      </c>
      <c r="C49" s="6" t="s">
        <v>242</v>
      </c>
      <c r="D49" s="5" t="s">
        <v>106</v>
      </c>
      <c r="E49" s="5" t="s">
        <v>243</v>
      </c>
      <c r="F49" s="7" t="n">
        <v>46320</v>
      </c>
      <c r="G49" s="8" t="s">
        <v>18</v>
      </c>
      <c r="H49" s="8" t="s">
        <v>19</v>
      </c>
      <c r="I49" s="8" t="s">
        <v>20</v>
      </c>
      <c r="J49" s="9" t="str">
        <f aca="false">IF(I49="Opened and confirmed","Done",IF(I49="Rejected","Do not cite",IF(I49="Date to confirm","Check page date","Open link and confirm")))</f>
        <v>Done</v>
      </c>
      <c r="K49" s="10" t="s">
        <v>235</v>
      </c>
      <c r="L49" s="10" t="s">
        <v>244</v>
      </c>
    </row>
    <row r="50" customFormat="false" ht="23.25" hidden="false" customHeight="true" outlineLevel="0" collapsed="false">
      <c r="A50" s="5" t="n">
        <v>38</v>
      </c>
      <c r="B50" s="5" t="s">
        <v>245</v>
      </c>
      <c r="C50" s="6" t="s">
        <v>246</v>
      </c>
      <c r="D50" s="5" t="s">
        <v>73</v>
      </c>
      <c r="E50" s="5" t="s">
        <v>247</v>
      </c>
      <c r="F50" s="7" t="n">
        <v>46320</v>
      </c>
      <c r="G50" s="8" t="s">
        <v>18</v>
      </c>
      <c r="H50" s="8" t="s">
        <v>19</v>
      </c>
      <c r="I50" s="8" t="s">
        <v>20</v>
      </c>
      <c r="J50" s="9" t="str">
        <f aca="false">IF(I50="Opened and confirmed","Done",IF(I50="Rejected","Do not cite",IF(I50="Date to confirm","Check page date","Open link and confirm")))</f>
        <v>Done</v>
      </c>
      <c r="K50" s="10" t="s">
        <v>235</v>
      </c>
      <c r="L50" s="10" t="s">
        <v>248</v>
      </c>
    </row>
    <row r="51" customFormat="false" ht="23.25" hidden="false" customHeight="true" outlineLevel="0" collapsed="false">
      <c r="A51" s="5" t="n">
        <v>39</v>
      </c>
      <c r="B51" s="5" t="s">
        <v>249</v>
      </c>
      <c r="C51" s="6" t="s">
        <v>250</v>
      </c>
      <c r="D51" s="5" t="s">
        <v>25</v>
      </c>
      <c r="E51" s="5" t="s">
        <v>251</v>
      </c>
      <c r="F51" s="7" t="n">
        <v>46320</v>
      </c>
      <c r="G51" s="8" t="s">
        <v>18</v>
      </c>
      <c r="H51" s="8" t="s">
        <v>19</v>
      </c>
      <c r="I51" s="8" t="s">
        <v>20</v>
      </c>
      <c r="J51" s="9" t="str">
        <f aca="false">IF(I51="Opened and confirmed","Done",IF(I51="Rejected","Do not cite",IF(I51="Date to confirm","Check page date","Open link and confirm")))</f>
        <v>Done</v>
      </c>
      <c r="K51" s="10" t="s">
        <v>235</v>
      </c>
      <c r="L51" s="10" t="s">
        <v>252</v>
      </c>
    </row>
    <row r="52" customFormat="false" ht="23.25" hidden="false" customHeight="true" outlineLevel="0" collapsed="false">
      <c r="A52" s="5" t="n">
        <v>40</v>
      </c>
      <c r="B52" s="5" t="s">
        <v>253</v>
      </c>
      <c r="C52" s="6" t="s">
        <v>254</v>
      </c>
      <c r="D52" s="5" t="s">
        <v>255</v>
      </c>
      <c r="E52" s="5" t="s">
        <v>256</v>
      </c>
      <c r="F52" s="7" t="n">
        <v>46320</v>
      </c>
      <c r="G52" s="8" t="s">
        <v>18</v>
      </c>
      <c r="H52" s="8" t="s">
        <v>19</v>
      </c>
      <c r="I52" s="8" t="s">
        <v>20</v>
      </c>
      <c r="J52" s="9" t="str">
        <f aca="false">IF(I52="Opened and confirmed","Done",IF(I52="Rejected","Do not cite",IF(I52="Date to confirm","Check page date","Open link and confirm")))</f>
        <v>Done</v>
      </c>
      <c r="K52" s="10" t="s">
        <v>235</v>
      </c>
      <c r="L52" s="10" t="s">
        <v>257</v>
      </c>
    </row>
  </sheetData>
  <autoFilter ref="A4:L52"/>
  <mergeCells count="1">
    <mergeCell ref="A2:J2"/>
  </mergeCells>
  <conditionalFormatting sqref="J5:J100">
    <cfRule type="expression" priority="2" aboveAverage="0" equalAverage="0" bottom="0" percent="0" rank="0" text="" dxfId="9">
      <formula>$J5="Done"</formula>
    </cfRule>
    <cfRule type="expression" priority="3" aboveAverage="0" equalAverage="0" bottom="0" percent="0" rank="0" text="" dxfId="10">
      <formula>OR($J5="Open link and confirm",$J5="Check page date")</formula>
    </cfRule>
    <cfRule type="expression" priority="4" aboveAverage="0" equalAverage="0" bottom="0" percent="0" rank="0" text="" dxfId="11">
      <formula>$J5="Do not cite"</formula>
    </cfRule>
  </conditionalFormatting>
  <dataValidations count="2">
    <dataValidation allowBlank="false" errorStyle="stop" operator="between" showDropDown="false" showErrorMessage="false" showInputMessage="false" sqref="I5:I100" type="list">
      <formula1>"Opened and confirmed,Excerpt read - open and confirm,Date to confirm,Rejected"</formula1>
      <formula2>0</formula2>
    </dataValidation>
    <dataValidation allowBlank="false" errorStyle="stop" operator="between" showDropDown="false" showErrorMessage="false" showInputMessage="false" sqref="H5:H100" type="list">
      <formula1>"Yes,No"</formula1>
      <formula2>0</formula2>
    </dataValidation>
  </dataValidations>
  <hyperlinks>
    <hyperlink ref="C5" r:id="rId1" display="https://ph01.tci-thaijo.org/index.php/TNIJournal/article/view/253949"/>
    <hyperlink ref="C6" r:id="rId2" display="https://www.ti.com/document-viewer/lit/html/SSZTD11/GUID-A8D6BB1F-85F9-43C0-970D-A6B638DA5F7B"/>
    <hyperlink ref="C7" r:id="rId3" display="https://www.nxp.com/docs/en/fact-sheet/BMx7318FS.pdf"/>
    <hyperlink ref="C8" r:id="rId4" display="https://www.analog.com/en/signals/thought-leadership/the-amazing-technology-behind-ev-batteries.html"/>
    <hyperlink ref="C9" r:id="rId5" display="https://pmc.ncbi.nlm.nih.gov/articles/PMC11679712/"/>
    <hyperlink ref="C10" r:id="rId6" display="https://www.powersystemsdesign.com/articles/the-sic-evolution-and-gan-revolution-for-electric-vehicles/22/20881"/>
    <hyperlink ref="C11" r:id="rId7" display="https://eepower.com/technical-articles/utilizing-sic-traction-technology-inverters-in-automotive-applications/"/>
    <hyperlink ref="C12" r:id="rId8" display="https://www.eenewseurope.com/en/advanced-sic-power-devices-to-accelerate-automotive-electrification/"/>
    <hyperlink ref="C13" r:id="rId9" display="https://www.energy.gov/cmei/vehicles/power-electronics-research-and-development"/>
    <hyperlink ref="C14" r:id="rId10" display="https://www.energy.gov/sites/default/files/2023-05/2023-critical-materials-assessment.pdf"/>
    <hyperlink ref="C15" r:id="rId11" display="https://www.trendforce.com/presscenter/news/20250512-12574.html"/>
    <hyperlink ref="C16" r:id="rId12" display="https://www.eetasia.com/trendforce-stmicroelectronics-leads-global-sic-power-device-market/"/>
    <hyperlink ref="C17" r:id="rId13" display="https://renesas.com/en/products/automotive-products/aec-q101"/>
    <hyperlink ref="C18" r:id="rId14" display="https://www.pmindia.gov.in/en/news_updates/giant-leap-for-india-semiconductor-mission-cabinet-approves-three-more-semiconductor-units/"/>
    <hyperlink ref="C19" r:id="rId15" display="https://www.india-briefing.com/news/india-4-new-semiconductor-plants-approved-2025-39180.html/"/>
    <hyperlink ref="C20" r:id="rId16" display="https://rsdebate.nic.in/bitstream/123456789/758379/1/PQ_267_07022025_U552_p269_p269.pdf"/>
    <hyperlink ref="C21" r:id="rId17" display="https://www.niti.gov.in/node/2328"/>
    <hyperlink ref="C22" r:id="rId18" display="https://www.theprint.in/india/indias-running-the-wrong-semiconductor-race-time-to-shift-gears-niti-aayog-offers-stark-advice/2945440/"/>
    <hyperlink ref="C23" r:id="rId19" display="https://tele.net.in/?p=205919"/>
    <hyperlink ref="C24" r:id="rId20" display="https://www.eenewseurope.com/en/renesas-holds-fire-on-sic/"/>
    <hyperlink ref="C25" r:id="rId21" display="https://www.mckinsey.com/industries/semiconductors/our-insights/managing-uncertainty-in-the-silicon-carbide-wafer-market"/>
    <hyperlink ref="C26" r:id="rId22" display="https://argusmedia.com/en/news-and-insights/latest-market-news/2212457-chip-shortage-prompts-ev-makers-to-shore-up-sic-supply"/>
    <hyperlink ref="C27" r:id="rId23" display="https://www.eetimes.eu/?p=32125"/>
    <hyperlink ref="C28" r:id="rId24" display="https://www.globalsmt.net/?p=104856"/>
    <hyperlink ref="C29" r:id="rId25" display="https://www.energy.gov/eere/vehicles/articles/vehicle-technologies-office-merit-review-2015-88-kilowatt-automotive"/>
    <hyperlink ref="C30" r:id="rId26" display="https://www.newark.com/es/technical-resources/how-to-guide/spi-isolated-communication-helps-battery-monitoring-system-in-evs"/>
    <hyperlink ref="C31" r:id="rId27" display="https://www.utmel.com/blog/categories/semiconductor/iatf-16949-for-automotive-electronics-quality-requirements-standards-alignment-and-certification-guide"/>
    <hyperlink ref="C32" r:id="rId28" display="https://www.pmindia.gov.in/en/news_updates/cabinet-approves-two-more-semiconductor-manufacturing-units-with-cumulative-investment-of-more-than-rs-3900-crore/"/>
    <hyperlink ref="C33" r:id="rId29" display="https://india.entrepreneur.com/business-news/cabinet-approves-two-semiconductor-units-worth-inr-3900-cr-in-gujarat"/>
    <hyperlink ref="C34" r:id="rId30" display="https://www.thehitavada.com//Encyc/2026/6/29/-rs-164-lakh-cr.html"/>
    <hyperlink ref="C35" r:id="rId31" display="https://www.kotakneo.com/news/sectors/india-semiconductor-mission-2-125000-crore-approval-2026/"/>
    <hyperlink ref="C36" r:id="rId32" display="https://evertiq.com/news/2025-11-03-sicsem-starts-work-on-220m-chip-production-plant-in-india"/>
    <hyperlink ref="C37" r:id="rId33" display="https://www.uniindia.com/east-india/tech-odisha-semiconductor-project/180328"/>
    <hyperlink ref="C38" r:id="rId34" display="https://indianinfrastructure.com/2026/09/18/odisha-government-approves-building-silicon-carbide-semiconductor-plant-worth-rs-34-06-billion-near-bhubaneswar/"/>
    <hyperlink ref="C39" r:id="rId35" display="https://www.tradejini.com/blogs/inside-indias-ambitious-semiconductor-manufacturing-mission"/>
    <hyperlink ref="C40" r:id="rId36" display="https://currentaffairs.adda247.com/semiconductor-plants-in-india-2026-complete-list-locations-and-manufacturing-details/"/>
    <hyperlink ref="C41" r:id="rId37" display="https://anantamias.com/semiconductor-mission-india/"/>
    <hyperlink ref="C42" r:id="rId38" display="https://www.patsnap.com/resources/blog/articles/sic-replacing-igbt-in-ev-inverters-3-5-efficiency-gain/"/>
    <hyperlink ref="C43" r:id="rId39" display="https://laoyaoba.com/n/882015"/>
    <hyperlink ref="C44" r:id="rId40" display="https://www.digitimes.com/tag/sic/0118558.html"/>
    <hyperlink ref="C46" r:id="rId41" display="https://aslindia.net/newsletters/first-made-in-india-semiconductor-chip-to-roll-out-soon-ashwini-vaishnaw-say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</cols>
  <sheetData>
    <row r="1" customFormat="false" ht="17.25" hidden="false" customHeight="true" outlineLevel="0" collapsed="false">
      <c r="A1" s="2" t="s">
        <v>258</v>
      </c>
    </row>
    <row r="3" customFormat="false" ht="15" hidden="false" customHeight="true" outlineLevel="0" collapsed="false">
      <c r="A3" s="11" t="s">
        <v>259</v>
      </c>
      <c r="B3" s="12" t="n">
        <f aca="false">COUNTA(SourceLog!A5:A100)</f>
        <v>48</v>
      </c>
    </row>
    <row r="4" customFormat="false" ht="15" hidden="false" customHeight="true" outlineLevel="0" collapsed="false">
      <c r="A4" s="11" t="s">
        <v>9</v>
      </c>
      <c r="B4" s="12" t="n">
        <f aca="false">COUNTIF(SourceLog!H5:H100,"Yes")</f>
        <v>39</v>
      </c>
    </row>
    <row r="5" customFormat="false" ht="15" hidden="false" customHeight="true" outlineLevel="0" collapsed="false">
      <c r="A5" s="11" t="s">
        <v>260</v>
      </c>
      <c r="B5" s="12" t="n">
        <f aca="false">COUNTIF(SourceLog!H5:H100,"No")</f>
        <v>9</v>
      </c>
    </row>
    <row r="6" customFormat="false" ht="15" hidden="false" customHeight="true" outlineLevel="0" collapsed="false">
      <c r="A6" s="11"/>
    </row>
    <row r="7" customFormat="false" ht="15" hidden="false" customHeight="true" outlineLevel="0" collapsed="false">
      <c r="A7" s="13" t="s">
        <v>261</v>
      </c>
    </row>
    <row r="8" customFormat="false" ht="15" hidden="false" customHeight="true" outlineLevel="0" collapsed="false">
      <c r="A8" s="11" t="s">
        <v>20</v>
      </c>
      <c r="B8" s="12" t="n">
        <f aca="false">COUNTIFS(SourceLog!H5:H100,"Yes",SourceLog!I5:I100,"Opened and confirmed")</f>
        <v>36</v>
      </c>
    </row>
    <row r="9" customFormat="false" ht="15" hidden="false" customHeight="true" outlineLevel="0" collapsed="false">
      <c r="A9" s="11" t="s">
        <v>40</v>
      </c>
      <c r="B9" s="12" t="n">
        <f aca="false">COUNTIFS(SourceLog!H5:H100,"Yes",SourceLog!I5:I100,"Excerpt read - open and confirm")</f>
        <v>3</v>
      </c>
    </row>
    <row r="10" customFormat="false" ht="15" hidden="false" customHeight="true" outlineLevel="0" collapsed="false">
      <c r="A10" s="11" t="s">
        <v>262</v>
      </c>
      <c r="B10" s="12" t="n">
        <f aca="false">COUNTIFS(SourceLog!H5:H100,"Yes",SourceLog!I5:I100,"Date to confirm")</f>
        <v>0</v>
      </c>
    </row>
    <row r="11" customFormat="false" ht="15" hidden="false" customHeight="true" outlineLevel="0" collapsed="false">
      <c r="A11" s="11"/>
    </row>
    <row r="12" customFormat="false" ht="15" hidden="false" customHeight="true" outlineLevel="0" collapsed="false">
      <c r="A12" s="11" t="s">
        <v>263</v>
      </c>
      <c r="B12" s="14" t="n">
        <f aca="false">IFERROR(B8/B4,0)</f>
        <v>0.923076923076923</v>
      </c>
    </row>
    <row r="13" customFormat="false" ht="15" hidden="false" customHeight="true" outlineLevel="0" collapsed="false">
      <c r="A13" s="11" t="s">
        <v>264</v>
      </c>
      <c r="B13" s="12" t="n">
        <f aca="false">COUNTIF(SourceLog!J5:J100,"Open link and confirm")+COUNTIF(SourceLog!J5:J100,"Check page date")</f>
        <v>3</v>
      </c>
    </row>
    <row r="14" customFormat="false" ht="15" hidden="false" customHeight="true" outlineLevel="0" collapsed="false">
      <c r="A14" s="11"/>
    </row>
    <row r="15" customFormat="false" ht="15" hidden="false" customHeight="true" outlineLevel="0" collapsed="false">
      <c r="A15" s="13" t="s">
        <v>265</v>
      </c>
    </row>
    <row r="16" customFormat="false" ht="15" hidden="false" customHeight="true" outlineLevel="0" collapsed="false">
      <c r="A16" s="11" t="s">
        <v>63</v>
      </c>
      <c r="B16" s="12" t="n">
        <f aca="false">COUNTIFS(SourceLog!H5:H100,"Yes",SourceLog!D5:D100,"Government")</f>
        <v>9</v>
      </c>
    </row>
    <row r="17" customFormat="false" ht="15" hidden="false" customHeight="true" outlineLevel="0" collapsed="false">
      <c r="A17" s="11" t="s">
        <v>16</v>
      </c>
      <c r="B17" s="12" t="n">
        <f aca="false">COUNTIFS(SourceLog!H5:H100,"Yes",SourceLog!D5:D100,"Research paper")</f>
        <v>2</v>
      </c>
    </row>
    <row r="18" customFormat="false" ht="15" hidden="false" customHeight="true" outlineLevel="0" collapsed="false">
      <c r="A18" s="11" t="s">
        <v>266</v>
      </c>
      <c r="B18" s="12" t="n">
        <f aca="false">COUNTIFS(SourceLog!H5:H100,"Yes",SourceLog!D5:D100,"Market research")+COUNTIFS(SourceLog!H5:H100,"Yes",SourceLog!D5:D100,"Consulting report")</f>
        <v>3</v>
      </c>
    </row>
    <row r="19" customFormat="false" ht="15" hidden="false" customHeight="true" outlineLevel="0" collapsed="false">
      <c r="A19" s="11" t="s">
        <v>25</v>
      </c>
      <c r="B19" s="12" t="n">
        <f aca="false">COUNTIFS(SourceLog!H5:H100,"Yes",SourceLog!D5:D100,"Company")</f>
        <v>5</v>
      </c>
    </row>
    <row r="21" customFormat="false" ht="15" hidden="false" customHeight="true" outlineLevel="0" collapsed="false">
      <c r="A21" s="15" t="s"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7.25" hidden="false" customHeight="true" outlineLevel="0" collapsed="false">
      <c r="A1" s="16" t="s">
        <v>268</v>
      </c>
    </row>
    <row r="2" customFormat="false" ht="15" hidden="false" customHeight="true" outlineLevel="0" collapsed="false">
      <c r="A2" s="17" t="s">
        <v>269</v>
      </c>
    </row>
    <row r="3" customFormat="false" ht="15" hidden="false" customHeight="true" outlineLevel="0" collapsed="false">
      <c r="A3" s="17" t="s">
        <v>270</v>
      </c>
    </row>
    <row r="4" customFormat="false" ht="15" hidden="false" customHeight="true" outlineLevel="0" collapsed="false">
      <c r="A4" s="17" t="s">
        <v>271</v>
      </c>
    </row>
    <row r="5" customFormat="false" ht="15" hidden="false" customHeight="true" outlineLevel="0" collapsed="false">
      <c r="A5" s="17" t="s">
        <v>272</v>
      </c>
    </row>
    <row r="6" customFormat="false" ht="26.25" hidden="false" customHeight="true" outlineLevel="0" collapsed="false">
      <c r="A6" s="17" t="s">
        <v>273</v>
      </c>
    </row>
    <row r="7" customFormat="false" ht="15" hidden="false" customHeight="true" outlineLevel="0" collapsed="false">
      <c r="A7" s="17" t="s">
        <v>274</v>
      </c>
    </row>
    <row r="8" customFormat="false" ht="15" hidden="false" customHeight="true" outlineLevel="0" collapsed="false">
      <c r="A8" s="17" t="s">
        <v>275</v>
      </c>
    </row>
    <row r="9" customFormat="false" ht="15" hidden="false" customHeight="false" outlineLevel="0" collapsed="false">
      <c r="A9" s="1" t="s">
        <v>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2026-10-19T05:58:59Z</dcterms:created>
  <dc:creator>openpyxl</dc:creator>
  <dc:description/>
  <dc:language>en-US</dc:language>
  <cp:lastModifiedBy/>
  <dcterms:modified xsi:type="dcterms:W3CDTF">2026-10-25T04:39:01Z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